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Work\Parroquias Datos\data\"/>
    </mc:Choice>
  </mc:AlternateContent>
  <xr:revisionPtr revIDLastSave="0" documentId="8_{41B203DC-AB6E-42F0-A09F-00193E704C52}" xr6:coauthVersionLast="47" xr6:coauthVersionMax="47" xr10:uidLastSave="{00000000-0000-0000-0000-000000000000}"/>
  <bookViews>
    <workbookView xWindow="38280" yWindow="-120" windowWidth="24240" windowHeight="13020" xr2:uid="{F6A37CA0-9330-4E94-8128-7DF73B289A6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<sst xmlns="http://schemas.openxmlformats.org/spreadsheetml/2006/main" count="234" uniqueCount="100">
  <si>
    <t>Provincia</t>
  </si>
  <si>
    <t xml:space="preserve">Cantón </t>
  </si>
  <si>
    <t>Parroquia</t>
  </si>
  <si>
    <t>Código_Parroq</t>
  </si>
  <si>
    <t>SECTOR</t>
  </si>
  <si>
    <t>Hombre</t>
  </si>
  <si>
    <t>Mujer</t>
  </si>
  <si>
    <t>Total</t>
  </si>
  <si>
    <t>Menor de 1 año</t>
  </si>
  <si>
    <t>De 1 a 4 años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</si>
  <si>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</si>
  <si>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</si>
  <si>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</si>
  <si>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</si>
  <si>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</si>
  <si>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</si>
  <si>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</si>
  <si>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</si>
  <si>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</si>
  <si>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</si>
  <si>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</si>
  <si>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</si>
  <si>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</si>
  <si>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</si>
  <si>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</si>
  <si>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</si>
  <si>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De 85 a 89 años</t>
  </si>
  <si>
    <t>De 90 a 94 años</t>
  </si>
  <si>
    <t>De 95 a 99 años</t>
  </si>
  <si>
    <t>De 100 años o más</t>
  </si>
  <si>
    <t>Pichincha</t>
  </si>
  <si>
    <t>Distrito Metropolitano de Quito</t>
  </si>
  <si>
    <t>Alangasí</t>
  </si>
  <si>
    <t>Amaguaña</t>
  </si>
  <si>
    <t>Atahualpa</t>
  </si>
  <si>
    <t>-</t>
  </si>
  <si>
    <t>Belisario Quevedo</t>
  </si>
  <si>
    <t>Calacalí</t>
  </si>
  <si>
    <t>Calderón</t>
  </si>
  <si>
    <t>Carcelén</t>
  </si>
  <si>
    <t>Centro Histórico</t>
  </si>
  <si>
    <t>Chavezpamba</t>
  </si>
  <si>
    <t>Checa</t>
  </si>
  <si>
    <t>Chilibulo</t>
  </si>
  <si>
    <t>Chillogallo</t>
  </si>
  <si>
    <t>Chimbacalle</t>
  </si>
  <si>
    <t>Cochapamba</t>
  </si>
  <si>
    <t>Comité del Pueblo</t>
  </si>
  <si>
    <t>La Concepción</t>
  </si>
  <si>
    <t>Conocoto</t>
  </si>
  <si>
    <t>Cotocollao</t>
  </si>
  <si>
    <t>Cumbayá</t>
  </si>
  <si>
    <t>El Condado</t>
  </si>
  <si>
    <t>El Quinche</t>
  </si>
  <si>
    <t>Gualea</t>
  </si>
  <si>
    <t>Guamaní</t>
  </si>
  <si>
    <t>Guangopolo</t>
  </si>
  <si>
    <t>Guayllabamba</t>
  </si>
  <si>
    <t>Iñaquito</t>
  </si>
  <si>
    <t>Itchimbia</t>
  </si>
  <si>
    <t>Jipijapa</t>
  </si>
  <si>
    <t>Kennedy</t>
  </si>
  <si>
    <t>La Argelia</t>
  </si>
  <si>
    <t>La Ecuatoriana</t>
  </si>
  <si>
    <t>La Ferroviaria</t>
  </si>
  <si>
    <t>La Libertad</t>
  </si>
  <si>
    <t>La Magdalena</t>
  </si>
  <si>
    <t>La Mena</t>
  </si>
  <si>
    <t>La Merced</t>
  </si>
  <si>
    <t>Llano Chico</t>
  </si>
  <si>
    <t>Lloa</t>
  </si>
  <si>
    <t>Mariscal Sucre</t>
  </si>
  <si>
    <t>Nanegal</t>
  </si>
  <si>
    <t>Nanegalito</t>
  </si>
  <si>
    <t>Nayón</t>
  </si>
  <si>
    <t>Nono</t>
  </si>
  <si>
    <t>Pacto</t>
  </si>
  <si>
    <t>Perucho</t>
  </si>
  <si>
    <t>Pifo</t>
  </si>
  <si>
    <t>Píntag</t>
  </si>
  <si>
    <t>Pomasqui</t>
  </si>
  <si>
    <t>Ponceano</t>
  </si>
  <si>
    <t>Puéllaro</t>
  </si>
  <si>
    <t>Puembo</t>
  </si>
  <si>
    <t>Puengasí</t>
  </si>
  <si>
    <t>Quitumbe</t>
  </si>
  <si>
    <t>Rumipamba</t>
  </si>
  <si>
    <t>San Antonio</t>
  </si>
  <si>
    <t>San Bartolo</t>
  </si>
  <si>
    <t>San Isidro del Inca</t>
  </si>
  <si>
    <t>San José de Minas</t>
  </si>
  <si>
    <t>San Juan</t>
  </si>
  <si>
    <t>Solanda</t>
  </si>
  <si>
    <t>Tababela</t>
  </si>
  <si>
    <t>Tumbaco</t>
  </si>
  <si>
    <t>Turubamba</t>
  </si>
  <si>
    <t>Yaruquí</t>
  </si>
  <si>
    <t>Zámbiza</t>
  </si>
  <si>
    <t>TOTAL</t>
  </si>
  <si>
    <t>Nota.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</si>
</sst>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0"/>
      <color rgb="FF000000"/>
      <name val="Century Gothic"/>
    </font>
    <font>
      <b/>
      <sz val="8"/>
      <color rgb="FF000000"/>
      <name val="Tahoma"/>
    </font>
    <font>
      <sz val="9"/>
      <color rgb="FF000000"/>
      <name val="Century Gothic"/>
    </font>
    <font>
      <sz val="9"/>
      <color rgb="FF000000"/>
      <name val="Arial"/>
    </font>
    <font>
      <sz val="9"/>
      <color theme="1"/>
      <name val="Arial"/>
    </font>
    <font>
      <sz val="10"/>
      <color theme="1"/>
      <name val="Arial"/>
    </font>
    <font>
      <b/>
      <sz val="9"/>
      <color theme="1"/>
      <name val="Century Gothic"/>
    </font>
    <font>
      <sz val="11"/>
      <name val="Calibri"/>
    </font>
    <font>
      <b/>
      <sz val="10"/>
      <color theme="1"/>
      <name val="Arial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ECE"/>
        <bgColor rgb="FFFFFECE"/>
      </patternFill>
    </fill>
  </fills>
  <borders count="6">
    <border>
      <left/>
      <right/>
      <top/>
      <bottom/>
      <diagonal/>
    </border>
    <border>
      <left style="thin">
        <color rgb="FFCDCD00"/>
      </left>
      <right style="thin">
        <color rgb="FFCDCD00"/>
      </right>
      <top style="thin">
        <color rgb="FFCDCD00"/>
      </top>
      <bottom/>
      <diagonal/>
    </border>
    <border>
      <left style="thin">
        <color rgb="FFCDCD00"/>
      </left>
      <right/>
      <top style="thin">
        <color rgb="FFCDCD00"/>
      </top>
      <bottom style="thin">
        <color rgb="FFCDCD00"/>
      </bottom>
      <diagonal/>
    </border>
    <border>
      <left style="thin">
        <color rgb="FFCDCD00"/>
      </left>
      <right style="thin">
        <color rgb="FFCDCD00"/>
      </right>
      <top style="thin">
        <color rgb="FFCDCD00"/>
      </top>
      <bottom style="thin">
        <color rgb="FFCDCD00"/>
      </bottom>
      <diagonal/>
    </border>
    <border>
      <left/>
      <right/>
      <top style="thin">
        <color rgb="FFCDCD00"/>
      </top>
      <bottom style="thin">
        <color rgb="FFCDCD00"/>
      </bottom>
      <diagonal/>
    </border>
    <border>
      <left/>
      <right style="thin">
        <color rgb="FFCDCD00"/>
      </right>
      <top style="thin">
        <color rgb="FFCDCD00"/>
      </top>
      <bottom style="thin">
        <color rgb="FFCDCD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1" fontId="7" fillId="2" borderId="2" xfId="0" applyNumberFormat="1" applyFont="1" applyFill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8" fillId="0" borderId="5" xfId="0" applyFont="1" applyBorder="1"/>
    <xf numFmtId="0" fontId="9" fillId="2" borderId="3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idavid.flores\Downloads\DEMOGRAFICO%20BASES.xlsx" TargetMode="External"/><Relationship Id="rId1" Type="http://schemas.openxmlformats.org/officeDocument/2006/relationships/externalLinkPath" Target="/Users/andreidavid.flores/Downloads/DEMOGRAFICO%20B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a de crec"/>
      <sheetName val="Hoja5"/>
      <sheetName val="parroquias desgloce edad"/>
      <sheetName val="edades parroquias"/>
      <sheetName val="TD"/>
    </sheetNames>
    <sheetDataSet>
      <sheetData sheetId="0">
        <row r="13">
          <cell r="C13" t="str">
            <v>Parroquias</v>
          </cell>
          <cell r="D13" t="str">
            <v>Agrupación</v>
          </cell>
        </row>
        <row r="14">
          <cell r="C14" t="str">
            <v>Calderón</v>
          </cell>
          <cell r="D14" t="str">
            <v>NORTE</v>
          </cell>
        </row>
        <row r="15">
          <cell r="C15" t="str">
            <v>Conocoto</v>
          </cell>
          <cell r="D15" t="str">
            <v>VALLE1</v>
          </cell>
        </row>
        <row r="16">
          <cell r="C16" t="str">
            <v>El Condado</v>
          </cell>
          <cell r="D16" t="str">
            <v>NORTE</v>
          </cell>
        </row>
        <row r="17">
          <cell r="C17" t="str">
            <v>Quitumbe</v>
          </cell>
          <cell r="D17" t="str">
            <v>SUR</v>
          </cell>
        </row>
        <row r="18">
          <cell r="C18" t="str">
            <v>Guamaní</v>
          </cell>
          <cell r="D18" t="str">
            <v>SUR</v>
          </cell>
        </row>
        <row r="19">
          <cell r="C19" t="str">
            <v>Turubamba</v>
          </cell>
          <cell r="D19" t="str">
            <v>SUR</v>
          </cell>
        </row>
        <row r="20">
          <cell r="C20" t="str">
            <v>Tumbaco</v>
          </cell>
          <cell r="D20" t="str">
            <v>VALLES</v>
          </cell>
        </row>
        <row r="21">
          <cell r="C21" t="str">
            <v>La Ecuatoriana</v>
          </cell>
          <cell r="D21" t="str">
            <v>SUR</v>
          </cell>
        </row>
        <row r="22">
          <cell r="C22" t="str">
            <v>Solanda</v>
          </cell>
          <cell r="D22" t="str">
            <v>SUR</v>
          </cell>
        </row>
        <row r="23">
          <cell r="C23" t="str">
            <v>Puengasí</v>
          </cell>
          <cell r="D23" t="str">
            <v>CENTRO</v>
          </cell>
        </row>
        <row r="24">
          <cell r="C24" t="str">
            <v>Chillogallo</v>
          </cell>
          <cell r="D24" t="str">
            <v>SUR</v>
          </cell>
        </row>
        <row r="25">
          <cell r="C25" t="str">
            <v>Carcelén</v>
          </cell>
          <cell r="D25" t="str">
            <v>NORTE</v>
          </cell>
        </row>
        <row r="26">
          <cell r="C26" t="str">
            <v>Cochapamba</v>
          </cell>
          <cell r="D26" t="str">
            <v>CENTRO</v>
          </cell>
        </row>
        <row r="27">
          <cell r="C27" t="str">
            <v>Kennedy</v>
          </cell>
          <cell r="D27" t="str">
            <v>CENTRO NORTE</v>
          </cell>
        </row>
        <row r="28">
          <cell r="C28" t="str">
            <v>La Ferroviaria</v>
          </cell>
          <cell r="D28" t="str">
            <v>SUR</v>
          </cell>
        </row>
        <row r="29">
          <cell r="C29" t="str">
            <v>La Argelia</v>
          </cell>
          <cell r="D29" t="str">
            <v>SUR</v>
          </cell>
        </row>
        <row r="30">
          <cell r="C30" t="str">
            <v>San Bartolo</v>
          </cell>
          <cell r="D30" t="str">
            <v>SUR</v>
          </cell>
        </row>
        <row r="31">
          <cell r="C31" t="str">
            <v>Iñaquito</v>
          </cell>
          <cell r="D31" t="str">
            <v>CENTRO NORTE</v>
          </cell>
        </row>
        <row r="32">
          <cell r="C32" t="str">
            <v>Ponceano</v>
          </cell>
          <cell r="D32" t="str">
            <v>NORTE</v>
          </cell>
        </row>
        <row r="33">
          <cell r="C33" t="str">
            <v>Comité del Pueblo</v>
          </cell>
          <cell r="D33" t="str">
            <v>NORTE</v>
          </cell>
        </row>
        <row r="34">
          <cell r="C34" t="str">
            <v>Belisario Quevedo</v>
          </cell>
          <cell r="D34" t="str">
            <v>NORTE</v>
          </cell>
        </row>
        <row r="35">
          <cell r="C35" t="str">
            <v>San Antonio</v>
          </cell>
          <cell r="D35" t="str">
            <v>NORTE</v>
          </cell>
        </row>
        <row r="36">
          <cell r="C36" t="str">
            <v>San Isidro del Inca</v>
          </cell>
          <cell r="D36" t="str">
            <v>CENTRO NORTE</v>
          </cell>
        </row>
        <row r="37">
          <cell r="C37" t="str">
            <v>La Mena</v>
          </cell>
          <cell r="D37" t="str">
            <v>SUR</v>
          </cell>
        </row>
        <row r="38">
          <cell r="C38" t="str">
            <v>San Juan</v>
          </cell>
          <cell r="D38" t="str">
            <v>CENTRO</v>
          </cell>
        </row>
        <row r="39">
          <cell r="C39" t="str">
            <v>Chilibulo</v>
          </cell>
          <cell r="D39" t="str">
            <v>SUR</v>
          </cell>
        </row>
        <row r="40">
          <cell r="C40" t="str">
            <v>Amaguaña</v>
          </cell>
          <cell r="D40" t="str">
            <v>VALLE1</v>
          </cell>
        </row>
        <row r="41">
          <cell r="C41" t="str">
            <v>Cumbayá</v>
          </cell>
          <cell r="D41" t="str">
            <v>VALLES</v>
          </cell>
        </row>
        <row r="42">
          <cell r="C42" t="str">
            <v>Jipijapa</v>
          </cell>
          <cell r="D42" t="str">
            <v>CENTRO NORTE</v>
          </cell>
        </row>
        <row r="43">
          <cell r="C43" t="str">
            <v>Pomasqui</v>
          </cell>
          <cell r="D43" t="str">
            <v>NORTE</v>
          </cell>
        </row>
        <row r="44">
          <cell r="C44" t="str">
            <v>Alangasí</v>
          </cell>
          <cell r="D44" t="str">
            <v>VALLE1</v>
          </cell>
        </row>
        <row r="45">
          <cell r="C45" t="str">
            <v>Chimbacalle</v>
          </cell>
          <cell r="D45" t="str">
            <v>CENTRO</v>
          </cell>
        </row>
        <row r="46">
          <cell r="C46" t="str">
            <v>Rumipamba</v>
          </cell>
          <cell r="D46" t="str">
            <v>CENTRO NORTE</v>
          </cell>
        </row>
        <row r="47">
          <cell r="C47" t="str">
            <v>Itchimbia</v>
          </cell>
          <cell r="D47" t="str">
            <v>CENTRO</v>
          </cell>
        </row>
        <row r="48">
          <cell r="C48" t="str">
            <v>La Concepción</v>
          </cell>
          <cell r="D48" t="str">
            <v>CENTRO NORTE</v>
          </cell>
        </row>
        <row r="49">
          <cell r="C49" t="str">
            <v>Centro Histórico</v>
          </cell>
          <cell r="D49" t="str">
            <v>CENTRO</v>
          </cell>
        </row>
        <row r="50">
          <cell r="C50" t="str">
            <v>Cotocollao</v>
          </cell>
          <cell r="D50" t="str">
            <v>NORTE</v>
          </cell>
        </row>
        <row r="51">
          <cell r="C51" t="str">
            <v>La Magdalena</v>
          </cell>
          <cell r="D51" t="str">
            <v>SUR</v>
          </cell>
        </row>
        <row r="52">
          <cell r="C52" t="str">
            <v>Yaruquí</v>
          </cell>
          <cell r="D52" t="str">
            <v>VALLES</v>
          </cell>
        </row>
        <row r="53">
          <cell r="C53" t="str">
            <v>Píntag</v>
          </cell>
          <cell r="D53" t="str">
            <v>VALLE1</v>
          </cell>
        </row>
        <row r="54">
          <cell r="C54" t="str">
            <v>La Libertad</v>
          </cell>
          <cell r="D54" t="str">
            <v>CENTRO</v>
          </cell>
        </row>
        <row r="55">
          <cell r="C55" t="str">
            <v>Pifo</v>
          </cell>
          <cell r="D55" t="str">
            <v>VALLES</v>
          </cell>
        </row>
        <row r="56">
          <cell r="C56" t="str">
            <v>Nayón</v>
          </cell>
          <cell r="D56" t="str">
            <v>CENTRO NORTE</v>
          </cell>
        </row>
        <row r="57">
          <cell r="C57" t="str">
            <v>Guayllabamba</v>
          </cell>
          <cell r="D57" t="str">
            <v>RURAL</v>
          </cell>
        </row>
        <row r="58">
          <cell r="C58" t="str">
            <v>El Quinche</v>
          </cell>
          <cell r="D58" t="str">
            <v>RURAL</v>
          </cell>
        </row>
        <row r="59">
          <cell r="C59" t="str">
            <v>Puembo</v>
          </cell>
          <cell r="D59" t="str">
            <v>VALLES</v>
          </cell>
        </row>
        <row r="60">
          <cell r="C60" t="str">
            <v>Llano Chico</v>
          </cell>
          <cell r="D60" t="str">
            <v>NORTE</v>
          </cell>
        </row>
        <row r="61">
          <cell r="C61" t="str">
            <v>Mariscal Sucre</v>
          </cell>
          <cell r="D61" t="str">
            <v>CENTRO</v>
          </cell>
        </row>
        <row r="62">
          <cell r="C62" t="str">
            <v>Checa</v>
          </cell>
          <cell r="D62" t="str">
            <v>RURAL</v>
          </cell>
        </row>
        <row r="63">
          <cell r="C63" t="str">
            <v>La Merced</v>
          </cell>
          <cell r="D63" t="str">
            <v>VALLE1</v>
          </cell>
        </row>
        <row r="64">
          <cell r="C64" t="str">
            <v>Zámbiza</v>
          </cell>
          <cell r="D64" t="str">
            <v>RURAL</v>
          </cell>
        </row>
        <row r="65">
          <cell r="C65" t="str">
            <v>San José de Minas</v>
          </cell>
          <cell r="D65" t="str">
            <v>RURAL</v>
          </cell>
        </row>
        <row r="66">
          <cell r="C66" t="str">
            <v>Puéllaro</v>
          </cell>
          <cell r="D66" t="str">
            <v>RURAL</v>
          </cell>
        </row>
        <row r="67">
          <cell r="C67" t="str">
            <v>Calacalí</v>
          </cell>
          <cell r="D67" t="str">
            <v>RURAL</v>
          </cell>
        </row>
        <row r="68">
          <cell r="C68" t="str">
            <v>Guangopolo</v>
          </cell>
          <cell r="D68" t="str">
            <v>VALLE1</v>
          </cell>
        </row>
        <row r="69">
          <cell r="C69" t="str">
            <v>Pacto</v>
          </cell>
          <cell r="D69" t="str">
            <v>RURAL</v>
          </cell>
        </row>
        <row r="70">
          <cell r="C70" t="str">
            <v>Tababela</v>
          </cell>
          <cell r="D70" t="str">
            <v>VALLES</v>
          </cell>
        </row>
        <row r="71">
          <cell r="C71" t="str">
            <v>Nanegal</v>
          </cell>
          <cell r="D71" t="str">
            <v>RURAL</v>
          </cell>
        </row>
        <row r="72">
          <cell r="C72" t="str">
            <v>Nono</v>
          </cell>
          <cell r="D72" t="str">
            <v>RURAL</v>
          </cell>
        </row>
        <row r="73">
          <cell r="C73" t="str">
            <v>Nanegalito</v>
          </cell>
          <cell r="D73" t="str">
            <v>RURAL</v>
          </cell>
        </row>
        <row r="74">
          <cell r="C74" t="str">
            <v>Lloa</v>
          </cell>
          <cell r="D74" t="str">
            <v>RURAL</v>
          </cell>
        </row>
        <row r="75">
          <cell r="C75" t="str">
            <v>Gualea</v>
          </cell>
          <cell r="D75" t="str">
            <v>RURAL</v>
          </cell>
        </row>
        <row r="76">
          <cell r="C76" t="str">
            <v>Atahualpa</v>
          </cell>
          <cell r="D76" t="str">
            <v>RURAL</v>
          </cell>
        </row>
        <row r="77">
          <cell r="C77" t="str">
            <v>Perucho</v>
          </cell>
          <cell r="D77" t="str">
            <v>RURAL</v>
          </cell>
        </row>
        <row r="78">
          <cell r="C78" t="str">
            <v>Chavezpamba</v>
          </cell>
          <cell r="D78" t="str">
            <v>RURAL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ABFC-0DC5-46B0-BF60-53BE90F85110}">
  <dimension ref="A1:AE68"/>
  <sheetViews>
    <sheetView tabSelected="1" workbookViewId="0">
      <selection activeCell="D7" sqref="D7"/>
    </sheetView>
  </sheetViews>
  <sheetFormatPr baseColWidth="10" defaultRowHeight="14.5" x14ac:dyDescent="0.35"/>
  <sheetData>
    <row r="1" spans="1:31" ht="25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7</v>
      </c>
    </row>
    <row r="2" spans="1:31" x14ac:dyDescent="0.35">
      <c r="A2" s="4" t="s">
        <v>30</v>
      </c>
      <c r="B2" s="4" t="s">
        <v>31</v>
      </c>
      <c r="C2" s="4" t="s">
        <v>32</v>
      </c>
      <c r="D2" s="5">
        <v>170151</v>
      </c>
      <c r="E2" s="5" t="str">
        <f>VLOOKUP(C2,'[1]tasa de crec'!$C$13:$D$78,2,0)</f>
        <v>VALLE1</v>
      </c>
      <c r="F2" s="6">
        <v>16611</v>
      </c>
      <c r="G2" s="6">
        <v>18044</v>
      </c>
      <c r="H2" s="6">
        <v>34655</v>
      </c>
      <c r="I2" s="6">
        <v>304</v>
      </c>
      <c r="J2" s="6">
        <v>1510</v>
      </c>
      <c r="K2" s="6">
        <v>2471</v>
      </c>
      <c r="L2" s="6">
        <v>2711</v>
      </c>
      <c r="M2" s="6">
        <v>2679</v>
      </c>
      <c r="N2" s="6">
        <v>2734</v>
      </c>
      <c r="O2" s="6">
        <v>2618</v>
      </c>
      <c r="P2" s="6">
        <v>2593</v>
      </c>
      <c r="Q2" s="6">
        <v>2684</v>
      </c>
      <c r="R2" s="6">
        <v>2694</v>
      </c>
      <c r="S2" s="6">
        <v>2315</v>
      </c>
      <c r="T2" s="6">
        <v>2028</v>
      </c>
      <c r="U2" s="6">
        <v>1842</v>
      </c>
      <c r="V2" s="6">
        <v>1653</v>
      </c>
      <c r="W2" s="6">
        <v>1323</v>
      </c>
      <c r="X2" s="6">
        <v>934</v>
      </c>
      <c r="Y2" s="6">
        <v>627</v>
      </c>
      <c r="Z2" s="6">
        <v>461</v>
      </c>
      <c r="AA2" s="6">
        <v>267</v>
      </c>
      <c r="AB2" s="6">
        <v>158</v>
      </c>
      <c r="AC2" s="6">
        <v>36</v>
      </c>
      <c r="AD2" s="6">
        <v>13</v>
      </c>
      <c r="AE2" s="6">
        <v>34655</v>
      </c>
    </row>
    <row r="3" spans="1:31" x14ac:dyDescent="0.35">
      <c r="A3" s="4" t="s">
        <v>30</v>
      </c>
      <c r="B3" s="4" t="s">
        <v>31</v>
      </c>
      <c r="C3" s="4" t="s">
        <v>33</v>
      </c>
      <c r="D3" s="5">
        <v>170152</v>
      </c>
      <c r="E3" s="5" t="str">
        <f>VLOOKUP(C3,'[1]tasa de crec'!$C$13:$D$78,2,0)</f>
        <v>VALLE1</v>
      </c>
      <c r="F3" s="6">
        <v>21118</v>
      </c>
      <c r="G3" s="6">
        <v>22117</v>
      </c>
      <c r="H3" s="6">
        <v>43235</v>
      </c>
      <c r="I3" s="6">
        <v>509</v>
      </c>
      <c r="J3" s="6">
        <v>2248</v>
      </c>
      <c r="K3" s="6">
        <v>3393</v>
      </c>
      <c r="L3" s="6">
        <v>3734</v>
      </c>
      <c r="M3" s="6">
        <v>3903</v>
      </c>
      <c r="N3" s="6">
        <v>3721</v>
      </c>
      <c r="O3" s="6">
        <v>3593</v>
      </c>
      <c r="P3" s="6">
        <v>3409</v>
      </c>
      <c r="Q3" s="6">
        <v>3427</v>
      </c>
      <c r="R3" s="6">
        <v>3203</v>
      </c>
      <c r="S3" s="6">
        <v>2628</v>
      </c>
      <c r="T3" s="6">
        <v>2333</v>
      </c>
      <c r="U3" s="6">
        <v>2005</v>
      </c>
      <c r="V3" s="6">
        <v>1583</v>
      </c>
      <c r="W3" s="6">
        <v>1212</v>
      </c>
      <c r="X3" s="6">
        <v>761</v>
      </c>
      <c r="Y3" s="6">
        <v>657</v>
      </c>
      <c r="Z3" s="6">
        <v>473</v>
      </c>
      <c r="AA3" s="6">
        <v>251</v>
      </c>
      <c r="AB3" s="6">
        <v>145</v>
      </c>
      <c r="AC3" s="6">
        <v>45</v>
      </c>
      <c r="AD3" s="6">
        <v>2</v>
      </c>
      <c r="AE3" s="6">
        <v>43235</v>
      </c>
    </row>
    <row r="4" spans="1:31" x14ac:dyDescent="0.35">
      <c r="A4" s="4" t="s">
        <v>30</v>
      </c>
      <c r="B4" s="4" t="s">
        <v>31</v>
      </c>
      <c r="C4" s="4" t="s">
        <v>34</v>
      </c>
      <c r="D4" s="5">
        <v>170153</v>
      </c>
      <c r="E4" s="5" t="str">
        <f>VLOOKUP(C4,'[1]tasa de crec'!$C$13:$D$78,2,0)</f>
        <v>RURAL</v>
      </c>
      <c r="F4" s="6">
        <v>689</v>
      </c>
      <c r="G4" s="6">
        <v>757</v>
      </c>
      <c r="H4" s="6">
        <v>1446</v>
      </c>
      <c r="I4" s="6">
        <v>13</v>
      </c>
      <c r="J4" s="6">
        <v>55</v>
      </c>
      <c r="K4" s="6">
        <v>84</v>
      </c>
      <c r="L4" s="6">
        <v>124</v>
      </c>
      <c r="M4" s="6">
        <v>116</v>
      </c>
      <c r="N4" s="6">
        <v>90</v>
      </c>
      <c r="O4" s="6">
        <v>79</v>
      </c>
      <c r="P4" s="6">
        <v>82</v>
      </c>
      <c r="Q4" s="6">
        <v>89</v>
      </c>
      <c r="R4" s="6">
        <v>87</v>
      </c>
      <c r="S4" s="6">
        <v>89</v>
      </c>
      <c r="T4" s="6">
        <v>75</v>
      </c>
      <c r="U4" s="6">
        <v>77</v>
      </c>
      <c r="V4" s="6">
        <v>94</v>
      </c>
      <c r="W4" s="6">
        <v>93</v>
      </c>
      <c r="X4" s="6">
        <v>58</v>
      </c>
      <c r="Y4" s="6">
        <v>54</v>
      </c>
      <c r="Z4" s="6">
        <v>46</v>
      </c>
      <c r="AA4" s="6">
        <v>31</v>
      </c>
      <c r="AB4" s="6">
        <v>10</v>
      </c>
      <c r="AC4" s="6" t="s">
        <v>35</v>
      </c>
      <c r="AD4" s="6" t="s">
        <v>35</v>
      </c>
      <c r="AE4" s="6">
        <v>1446</v>
      </c>
    </row>
    <row r="5" spans="1:31" x14ac:dyDescent="0.35">
      <c r="A5" s="4" t="s">
        <v>30</v>
      </c>
      <c r="B5" s="4" t="s">
        <v>31</v>
      </c>
      <c r="C5" s="4" t="s">
        <v>36</v>
      </c>
      <c r="D5" s="5">
        <v>170101</v>
      </c>
      <c r="E5" s="5" t="str">
        <f>VLOOKUP(C5,'[1]tasa de crec'!$C$13:$D$78,2,0)</f>
        <v>NORTE</v>
      </c>
      <c r="F5" s="7">
        <v>23862</v>
      </c>
      <c r="G5" s="7">
        <v>26638</v>
      </c>
      <c r="H5" s="7">
        <v>50500</v>
      </c>
      <c r="I5" s="7">
        <v>422</v>
      </c>
      <c r="J5" s="7">
        <v>1923</v>
      </c>
      <c r="K5" s="7">
        <v>2969</v>
      </c>
      <c r="L5" s="7">
        <v>3487</v>
      </c>
      <c r="M5" s="7">
        <v>3597</v>
      </c>
      <c r="N5" s="7">
        <v>4425</v>
      </c>
      <c r="O5" s="7">
        <v>4533</v>
      </c>
      <c r="P5" s="7">
        <v>4411</v>
      </c>
      <c r="Q5" s="7">
        <v>4018</v>
      </c>
      <c r="R5" s="7">
        <v>3524</v>
      </c>
      <c r="S5" s="7">
        <v>3047</v>
      </c>
      <c r="T5" s="7">
        <v>2870</v>
      </c>
      <c r="U5" s="7">
        <v>2654</v>
      </c>
      <c r="V5" s="7">
        <v>2423</v>
      </c>
      <c r="W5" s="7">
        <v>2017</v>
      </c>
      <c r="X5" s="7">
        <v>1588</v>
      </c>
      <c r="Y5" s="7">
        <v>1022</v>
      </c>
      <c r="Z5" s="7">
        <v>726</v>
      </c>
      <c r="AA5" s="7">
        <v>451</v>
      </c>
      <c r="AB5" s="7">
        <v>300</v>
      </c>
      <c r="AC5" s="7">
        <v>79</v>
      </c>
      <c r="AD5" s="7">
        <v>14</v>
      </c>
      <c r="AE5" s="7">
        <v>50500</v>
      </c>
    </row>
    <row r="6" spans="1:31" x14ac:dyDescent="0.35">
      <c r="A6" s="4" t="s">
        <v>30</v>
      </c>
      <c r="B6" s="4" t="s">
        <v>31</v>
      </c>
      <c r="C6" s="4" t="s">
        <v>37</v>
      </c>
      <c r="D6" s="5">
        <v>170154</v>
      </c>
      <c r="E6" s="5" t="str">
        <f>VLOOKUP(C6,'[1]tasa de crec'!$C$13:$D$78,2,0)</f>
        <v>RURAL</v>
      </c>
      <c r="F6" s="6">
        <v>2407</v>
      </c>
      <c r="G6" s="6">
        <v>2557</v>
      </c>
      <c r="H6" s="6">
        <v>4964</v>
      </c>
      <c r="I6" s="6">
        <v>54</v>
      </c>
      <c r="J6" s="6">
        <v>257</v>
      </c>
      <c r="K6" s="6">
        <v>381</v>
      </c>
      <c r="L6" s="6">
        <v>411</v>
      </c>
      <c r="M6" s="6">
        <v>454</v>
      </c>
      <c r="N6" s="6">
        <v>453</v>
      </c>
      <c r="O6" s="6">
        <v>405</v>
      </c>
      <c r="P6" s="6">
        <v>372</v>
      </c>
      <c r="Q6" s="6">
        <v>320</v>
      </c>
      <c r="R6" s="6">
        <v>330</v>
      </c>
      <c r="S6" s="6">
        <v>292</v>
      </c>
      <c r="T6" s="6">
        <v>293</v>
      </c>
      <c r="U6" s="6">
        <v>199</v>
      </c>
      <c r="V6" s="6">
        <v>186</v>
      </c>
      <c r="W6" s="6">
        <v>158</v>
      </c>
      <c r="X6" s="6">
        <v>123</v>
      </c>
      <c r="Y6" s="6">
        <v>107</v>
      </c>
      <c r="Z6" s="6">
        <v>85</v>
      </c>
      <c r="AA6" s="6">
        <v>48</v>
      </c>
      <c r="AB6" s="6">
        <v>29</v>
      </c>
      <c r="AC6" s="6">
        <v>6</v>
      </c>
      <c r="AD6" s="6">
        <v>1</v>
      </c>
      <c r="AE6" s="6">
        <v>4964</v>
      </c>
    </row>
    <row r="7" spans="1:31" x14ac:dyDescent="0.35">
      <c r="A7" s="4" t="s">
        <v>30</v>
      </c>
      <c r="B7" s="4" t="s">
        <v>31</v>
      </c>
      <c r="C7" s="4" t="s">
        <v>38</v>
      </c>
      <c r="D7" s="5">
        <v>170155</v>
      </c>
      <c r="E7" s="5" t="str">
        <f>VLOOKUP(C7,'[1]tasa de crec'!$C$13:$D$78,2,0)</f>
        <v>NORTE</v>
      </c>
      <c r="F7" s="6">
        <v>121812</v>
      </c>
      <c r="G7" s="6">
        <v>129065</v>
      </c>
      <c r="H7" s="6">
        <v>250877</v>
      </c>
      <c r="I7" s="6">
        <v>2870</v>
      </c>
      <c r="J7" s="6">
        <v>12780</v>
      </c>
      <c r="K7" s="6">
        <v>20146</v>
      </c>
      <c r="L7" s="6">
        <v>22583</v>
      </c>
      <c r="M7" s="6">
        <v>22188</v>
      </c>
      <c r="N7" s="6">
        <v>22088</v>
      </c>
      <c r="O7" s="6">
        <v>21229</v>
      </c>
      <c r="P7" s="6">
        <v>20628</v>
      </c>
      <c r="Q7" s="6">
        <v>20934</v>
      </c>
      <c r="R7" s="6">
        <v>18981</v>
      </c>
      <c r="S7" s="6">
        <v>15620</v>
      </c>
      <c r="T7" s="6">
        <v>13184</v>
      </c>
      <c r="U7" s="6">
        <v>11034</v>
      </c>
      <c r="V7" s="6">
        <v>9034</v>
      </c>
      <c r="W7" s="6">
        <v>6712</v>
      </c>
      <c r="X7" s="6">
        <v>4405</v>
      </c>
      <c r="Y7" s="6">
        <v>2893</v>
      </c>
      <c r="Z7" s="6">
        <v>1810</v>
      </c>
      <c r="AA7" s="6">
        <v>1077</v>
      </c>
      <c r="AB7" s="6">
        <v>503</v>
      </c>
      <c r="AC7" s="6">
        <v>151</v>
      </c>
      <c r="AD7" s="6">
        <v>27</v>
      </c>
      <c r="AE7" s="6">
        <v>250877</v>
      </c>
    </row>
    <row r="8" spans="1:31" x14ac:dyDescent="0.35">
      <c r="A8" s="4" t="s">
        <v>30</v>
      </c>
      <c r="B8" s="4" t="s">
        <v>31</v>
      </c>
      <c r="C8" s="4" t="s">
        <v>39</v>
      </c>
      <c r="D8" s="5">
        <v>170102</v>
      </c>
      <c r="E8" s="5" t="str">
        <f>VLOOKUP(C8,'[1]tasa de crec'!$C$13:$D$78,2,0)</f>
        <v>NORTE</v>
      </c>
      <c r="F8" s="7">
        <v>32236</v>
      </c>
      <c r="G8" s="7">
        <v>35005</v>
      </c>
      <c r="H8" s="7">
        <v>67241</v>
      </c>
      <c r="I8" s="7">
        <v>603</v>
      </c>
      <c r="J8" s="7">
        <v>2791</v>
      </c>
      <c r="K8" s="7">
        <v>4663</v>
      </c>
      <c r="L8" s="7">
        <v>5215</v>
      </c>
      <c r="M8" s="7">
        <v>5280</v>
      </c>
      <c r="N8" s="7">
        <v>5382</v>
      </c>
      <c r="O8" s="7">
        <v>5385</v>
      </c>
      <c r="P8" s="7">
        <v>5221</v>
      </c>
      <c r="Q8" s="7">
        <v>5460</v>
      </c>
      <c r="R8" s="7">
        <v>5166</v>
      </c>
      <c r="S8" s="7">
        <v>4551</v>
      </c>
      <c r="T8" s="7">
        <v>3917</v>
      </c>
      <c r="U8" s="7">
        <v>3470</v>
      </c>
      <c r="V8" s="7">
        <v>2907</v>
      </c>
      <c r="W8" s="7">
        <v>2668</v>
      </c>
      <c r="X8" s="7">
        <v>1970</v>
      </c>
      <c r="Y8" s="7">
        <v>1308</v>
      </c>
      <c r="Z8" s="7">
        <v>703</v>
      </c>
      <c r="AA8" s="7">
        <v>357</v>
      </c>
      <c r="AB8" s="7">
        <v>182</v>
      </c>
      <c r="AC8" s="7">
        <v>37</v>
      </c>
      <c r="AD8" s="7">
        <v>5</v>
      </c>
      <c r="AE8" s="7">
        <v>67241</v>
      </c>
    </row>
    <row r="9" spans="1:31" x14ac:dyDescent="0.35">
      <c r="A9" s="4" t="s">
        <v>30</v>
      </c>
      <c r="B9" s="4" t="s">
        <v>31</v>
      </c>
      <c r="C9" s="4" t="s">
        <v>40</v>
      </c>
      <c r="D9" s="5">
        <v>170103</v>
      </c>
      <c r="E9" s="5" t="str">
        <f>VLOOKUP(C9,'[1]tasa de crec'!$C$13:$D$78,2,0)</f>
        <v>CENTRO</v>
      </c>
      <c r="F9" s="7">
        <v>14375</v>
      </c>
      <c r="G9" s="7">
        <v>15134</v>
      </c>
      <c r="H9" s="7">
        <v>29509</v>
      </c>
      <c r="I9" s="7">
        <v>315</v>
      </c>
      <c r="J9" s="7">
        <v>1477</v>
      </c>
      <c r="K9" s="7">
        <v>2040</v>
      </c>
      <c r="L9" s="7">
        <v>2271</v>
      </c>
      <c r="M9" s="7">
        <v>2414</v>
      </c>
      <c r="N9" s="7">
        <v>2535</v>
      </c>
      <c r="O9" s="7">
        <v>2488</v>
      </c>
      <c r="P9" s="7">
        <v>2235</v>
      </c>
      <c r="Q9" s="7">
        <v>2102</v>
      </c>
      <c r="R9" s="7">
        <v>1971</v>
      </c>
      <c r="S9" s="7">
        <v>1740</v>
      </c>
      <c r="T9" s="7">
        <v>1639</v>
      </c>
      <c r="U9" s="7">
        <v>1532</v>
      </c>
      <c r="V9" s="7">
        <v>1291</v>
      </c>
      <c r="W9" s="7">
        <v>1100</v>
      </c>
      <c r="X9" s="7">
        <v>861</v>
      </c>
      <c r="Y9" s="7">
        <v>636</v>
      </c>
      <c r="Z9" s="7">
        <v>433</v>
      </c>
      <c r="AA9" s="7">
        <v>236</v>
      </c>
      <c r="AB9" s="7">
        <v>143</v>
      </c>
      <c r="AC9" s="7">
        <v>45</v>
      </c>
      <c r="AD9" s="7">
        <v>5</v>
      </c>
      <c r="AE9" s="7">
        <v>29509</v>
      </c>
    </row>
    <row r="10" spans="1:31" x14ac:dyDescent="0.35">
      <c r="A10" s="4" t="s">
        <v>30</v>
      </c>
      <c r="B10" s="4" t="s">
        <v>31</v>
      </c>
      <c r="C10" s="4" t="s">
        <v>41</v>
      </c>
      <c r="D10" s="5">
        <v>170158</v>
      </c>
      <c r="E10" s="5" t="str">
        <f>VLOOKUP(C10,'[1]tasa de crec'!$C$13:$D$78,2,0)</f>
        <v>RURAL</v>
      </c>
      <c r="F10" s="6">
        <v>303</v>
      </c>
      <c r="G10" s="6">
        <v>276</v>
      </c>
      <c r="H10" s="6">
        <v>579</v>
      </c>
      <c r="I10" s="6">
        <v>7</v>
      </c>
      <c r="J10" s="6">
        <v>22</v>
      </c>
      <c r="K10" s="6">
        <v>30</v>
      </c>
      <c r="L10" s="6">
        <v>46</v>
      </c>
      <c r="M10" s="6">
        <v>62</v>
      </c>
      <c r="N10" s="6">
        <v>39</v>
      </c>
      <c r="O10" s="6">
        <v>29</v>
      </c>
      <c r="P10" s="6">
        <v>30</v>
      </c>
      <c r="Q10" s="6">
        <v>27</v>
      </c>
      <c r="R10" s="6">
        <v>22</v>
      </c>
      <c r="S10" s="6">
        <v>44</v>
      </c>
      <c r="T10" s="6">
        <v>27</v>
      </c>
      <c r="U10" s="6">
        <v>34</v>
      </c>
      <c r="V10" s="6">
        <v>28</v>
      </c>
      <c r="W10" s="6">
        <v>33</v>
      </c>
      <c r="X10" s="6">
        <v>25</v>
      </c>
      <c r="Y10" s="6">
        <v>17</v>
      </c>
      <c r="Z10" s="6">
        <v>26</v>
      </c>
      <c r="AA10" s="6">
        <v>12</v>
      </c>
      <c r="AB10" s="6">
        <v>16</v>
      </c>
      <c r="AC10" s="6" t="s">
        <v>35</v>
      </c>
      <c r="AD10" s="6">
        <v>3</v>
      </c>
      <c r="AE10" s="6">
        <v>579</v>
      </c>
    </row>
    <row r="11" spans="1:31" x14ac:dyDescent="0.35">
      <c r="A11" s="4" t="s">
        <v>30</v>
      </c>
      <c r="B11" s="4" t="s">
        <v>31</v>
      </c>
      <c r="C11" s="4" t="s">
        <v>42</v>
      </c>
      <c r="D11" s="5">
        <v>170159</v>
      </c>
      <c r="E11" s="5" t="str">
        <f>VLOOKUP(C11,'[1]tasa de crec'!$C$13:$D$78,2,0)</f>
        <v>RURAL</v>
      </c>
      <c r="F11" s="6">
        <v>5666</v>
      </c>
      <c r="G11" s="6">
        <v>5826</v>
      </c>
      <c r="H11" s="6">
        <v>11492</v>
      </c>
      <c r="I11" s="6">
        <v>163</v>
      </c>
      <c r="J11" s="6">
        <v>668</v>
      </c>
      <c r="K11" s="6">
        <v>942</v>
      </c>
      <c r="L11" s="6">
        <v>1020</v>
      </c>
      <c r="M11" s="6">
        <v>1049</v>
      </c>
      <c r="N11" s="6">
        <v>1107</v>
      </c>
      <c r="O11" s="6">
        <v>1072</v>
      </c>
      <c r="P11" s="6">
        <v>895</v>
      </c>
      <c r="Q11" s="6">
        <v>857</v>
      </c>
      <c r="R11" s="6">
        <v>756</v>
      </c>
      <c r="S11" s="6">
        <v>667</v>
      </c>
      <c r="T11" s="6">
        <v>573</v>
      </c>
      <c r="U11" s="6">
        <v>421</v>
      </c>
      <c r="V11" s="6">
        <v>344</v>
      </c>
      <c r="W11" s="6">
        <v>304</v>
      </c>
      <c r="X11" s="6">
        <v>224</v>
      </c>
      <c r="Y11" s="6">
        <v>190</v>
      </c>
      <c r="Z11" s="6">
        <v>121</v>
      </c>
      <c r="AA11" s="6">
        <v>67</v>
      </c>
      <c r="AB11" s="6">
        <v>34</v>
      </c>
      <c r="AC11" s="6">
        <v>14</v>
      </c>
      <c r="AD11" s="6">
        <v>4</v>
      </c>
      <c r="AE11" s="6">
        <v>11492</v>
      </c>
    </row>
    <row r="12" spans="1:31" x14ac:dyDescent="0.35">
      <c r="A12" s="4" t="s">
        <v>30</v>
      </c>
      <c r="B12" s="4" t="s">
        <v>31</v>
      </c>
      <c r="C12" s="4" t="s">
        <v>43</v>
      </c>
      <c r="D12" s="5">
        <v>170107</v>
      </c>
      <c r="E12" s="5" t="str">
        <f>VLOOKUP(C12,'[1]tasa de crec'!$C$13:$D$78,2,0)</f>
        <v>SUR</v>
      </c>
      <c r="F12" s="7">
        <v>22228</v>
      </c>
      <c r="G12" s="7">
        <v>24016</v>
      </c>
      <c r="H12" s="7">
        <v>46244</v>
      </c>
      <c r="I12" s="7">
        <v>463</v>
      </c>
      <c r="J12" s="7">
        <v>2257</v>
      </c>
      <c r="K12" s="7">
        <v>3334</v>
      </c>
      <c r="L12" s="7">
        <v>3857</v>
      </c>
      <c r="M12" s="7">
        <v>3964</v>
      </c>
      <c r="N12" s="7">
        <v>3884</v>
      </c>
      <c r="O12" s="7">
        <v>3853</v>
      </c>
      <c r="P12" s="7">
        <v>3648</v>
      </c>
      <c r="Q12" s="7">
        <v>3431</v>
      </c>
      <c r="R12" s="7">
        <v>3085</v>
      </c>
      <c r="S12" s="7">
        <v>2925</v>
      </c>
      <c r="T12" s="7">
        <v>2723</v>
      </c>
      <c r="U12" s="7">
        <v>2178</v>
      </c>
      <c r="V12" s="7">
        <v>1939</v>
      </c>
      <c r="W12" s="7">
        <v>1575</v>
      </c>
      <c r="X12" s="7">
        <v>1144</v>
      </c>
      <c r="Y12" s="7">
        <v>868</v>
      </c>
      <c r="Z12" s="7">
        <v>581</v>
      </c>
      <c r="AA12" s="7">
        <v>329</v>
      </c>
      <c r="AB12" s="7">
        <v>167</v>
      </c>
      <c r="AC12" s="7">
        <v>37</v>
      </c>
      <c r="AD12" s="7">
        <v>2</v>
      </c>
      <c r="AE12" s="7">
        <v>46244</v>
      </c>
    </row>
    <row r="13" spans="1:31" x14ac:dyDescent="0.35">
      <c r="A13" s="4" t="s">
        <v>30</v>
      </c>
      <c r="B13" s="4" t="s">
        <v>31</v>
      </c>
      <c r="C13" s="4" t="s">
        <v>44</v>
      </c>
      <c r="D13" s="5">
        <v>170108</v>
      </c>
      <c r="E13" s="5" t="str">
        <f>VLOOKUP(C13,'[1]tasa de crec'!$C$13:$D$78,2,0)</f>
        <v>SUR</v>
      </c>
      <c r="F13" s="7">
        <v>33319</v>
      </c>
      <c r="G13" s="7">
        <v>35382</v>
      </c>
      <c r="H13" s="7">
        <v>68701</v>
      </c>
      <c r="I13" s="7">
        <v>777</v>
      </c>
      <c r="J13" s="7">
        <v>3603</v>
      </c>
      <c r="K13" s="7">
        <v>5534</v>
      </c>
      <c r="L13" s="7">
        <v>6478</v>
      </c>
      <c r="M13" s="7">
        <v>6400</v>
      </c>
      <c r="N13" s="7">
        <v>6234</v>
      </c>
      <c r="O13" s="7">
        <v>5743</v>
      </c>
      <c r="P13" s="7">
        <v>5309</v>
      </c>
      <c r="Q13" s="7">
        <v>5161</v>
      </c>
      <c r="R13" s="7">
        <v>4918</v>
      </c>
      <c r="S13" s="7">
        <v>4068</v>
      </c>
      <c r="T13" s="7">
        <v>3546</v>
      </c>
      <c r="U13" s="7">
        <v>2982</v>
      </c>
      <c r="V13" s="7">
        <v>2531</v>
      </c>
      <c r="W13" s="7">
        <v>2008</v>
      </c>
      <c r="X13" s="7">
        <v>1441</v>
      </c>
      <c r="Y13" s="7">
        <v>923</v>
      </c>
      <c r="Z13" s="7">
        <v>548</v>
      </c>
      <c r="AA13" s="7">
        <v>291</v>
      </c>
      <c r="AB13" s="7">
        <v>149</v>
      </c>
      <c r="AC13" s="7">
        <v>50</v>
      </c>
      <c r="AD13" s="7">
        <v>7</v>
      </c>
      <c r="AE13" s="7">
        <v>68701</v>
      </c>
    </row>
    <row r="14" spans="1:31" x14ac:dyDescent="0.35">
      <c r="A14" s="4" t="s">
        <v>30</v>
      </c>
      <c r="B14" s="4" t="s">
        <v>31</v>
      </c>
      <c r="C14" s="4" t="s">
        <v>45</v>
      </c>
      <c r="D14" s="5">
        <v>170109</v>
      </c>
      <c r="E14" s="5" t="str">
        <f>VLOOKUP(C14,'[1]tasa de crec'!$C$13:$D$78,2,0)</f>
        <v>CENTRO</v>
      </c>
      <c r="F14" s="7">
        <v>16500</v>
      </c>
      <c r="G14" s="7">
        <v>17880</v>
      </c>
      <c r="H14" s="7">
        <v>34380</v>
      </c>
      <c r="I14" s="7">
        <v>267</v>
      </c>
      <c r="J14" s="7">
        <v>1413</v>
      </c>
      <c r="K14" s="7">
        <v>2087</v>
      </c>
      <c r="L14" s="7">
        <v>2395</v>
      </c>
      <c r="M14" s="7">
        <v>2401</v>
      </c>
      <c r="N14" s="7">
        <v>2745</v>
      </c>
      <c r="O14" s="7">
        <v>2924</v>
      </c>
      <c r="P14" s="7">
        <v>2663</v>
      </c>
      <c r="Q14" s="7">
        <v>2550</v>
      </c>
      <c r="R14" s="7">
        <v>2267</v>
      </c>
      <c r="S14" s="7">
        <v>1969</v>
      </c>
      <c r="T14" s="7">
        <v>2091</v>
      </c>
      <c r="U14" s="7">
        <v>2058</v>
      </c>
      <c r="V14" s="7">
        <v>1843</v>
      </c>
      <c r="W14" s="7">
        <v>1474</v>
      </c>
      <c r="X14" s="7">
        <v>1238</v>
      </c>
      <c r="Y14" s="7">
        <v>812</v>
      </c>
      <c r="Z14" s="7">
        <v>596</v>
      </c>
      <c r="AA14" s="7">
        <v>317</v>
      </c>
      <c r="AB14" s="7">
        <v>210</v>
      </c>
      <c r="AC14" s="7">
        <v>47</v>
      </c>
      <c r="AD14" s="7">
        <v>13</v>
      </c>
      <c r="AE14" s="7">
        <v>34380</v>
      </c>
    </row>
    <row r="15" spans="1:31" x14ac:dyDescent="0.35">
      <c r="A15" s="4" t="s">
        <v>30</v>
      </c>
      <c r="B15" s="4" t="s">
        <v>31</v>
      </c>
      <c r="C15" s="4" t="s">
        <v>46</v>
      </c>
      <c r="D15" s="5">
        <v>170104</v>
      </c>
      <c r="E15" s="5" t="str">
        <f>VLOOKUP(C15,'[1]tasa de crec'!$C$13:$D$78,2,0)</f>
        <v>CENTRO</v>
      </c>
      <c r="F15" s="7">
        <v>30959</v>
      </c>
      <c r="G15" s="7">
        <v>33267</v>
      </c>
      <c r="H15" s="7">
        <v>64226</v>
      </c>
      <c r="I15" s="7">
        <v>681</v>
      </c>
      <c r="J15" s="7">
        <v>3165</v>
      </c>
      <c r="K15" s="7">
        <v>4843</v>
      </c>
      <c r="L15" s="7">
        <v>5368</v>
      </c>
      <c r="M15" s="7">
        <v>5369</v>
      </c>
      <c r="N15" s="7">
        <v>5367</v>
      </c>
      <c r="O15" s="7">
        <v>5363</v>
      </c>
      <c r="P15" s="7">
        <v>5388</v>
      </c>
      <c r="Q15" s="7">
        <v>5246</v>
      </c>
      <c r="R15" s="7">
        <v>4894</v>
      </c>
      <c r="S15" s="7">
        <v>3860</v>
      </c>
      <c r="T15" s="7">
        <v>3461</v>
      </c>
      <c r="U15" s="7">
        <v>3140</v>
      </c>
      <c r="V15" s="7">
        <v>2549</v>
      </c>
      <c r="W15" s="7">
        <v>2012</v>
      </c>
      <c r="X15" s="7">
        <v>1379</v>
      </c>
      <c r="Y15" s="7">
        <v>1003</v>
      </c>
      <c r="Z15" s="7">
        <v>600</v>
      </c>
      <c r="AA15" s="7">
        <v>344</v>
      </c>
      <c r="AB15" s="7">
        <v>152</v>
      </c>
      <c r="AC15" s="7">
        <v>33</v>
      </c>
      <c r="AD15" s="7">
        <v>9</v>
      </c>
      <c r="AE15" s="7">
        <v>64226</v>
      </c>
    </row>
    <row r="16" spans="1:31" x14ac:dyDescent="0.35">
      <c r="A16" s="4" t="s">
        <v>30</v>
      </c>
      <c r="B16" s="4" t="s">
        <v>31</v>
      </c>
      <c r="C16" s="4" t="s">
        <v>47</v>
      </c>
      <c r="D16" s="5">
        <v>170105</v>
      </c>
      <c r="E16" s="5" t="str">
        <f>VLOOKUP(C16,'[1]tasa de crec'!$C$13:$D$78,2,0)</f>
        <v>NORTE</v>
      </c>
      <c r="F16" s="7">
        <v>26008</v>
      </c>
      <c r="G16" s="7">
        <v>27245</v>
      </c>
      <c r="H16" s="7">
        <v>53253</v>
      </c>
      <c r="I16" s="7">
        <v>541</v>
      </c>
      <c r="J16" s="7">
        <v>2594</v>
      </c>
      <c r="K16" s="7">
        <v>4087</v>
      </c>
      <c r="L16" s="7">
        <v>4512</v>
      </c>
      <c r="M16" s="7">
        <v>4487</v>
      </c>
      <c r="N16" s="7">
        <v>4663</v>
      </c>
      <c r="O16" s="7">
        <v>4646</v>
      </c>
      <c r="P16" s="7">
        <v>4342</v>
      </c>
      <c r="Q16" s="7">
        <v>4313</v>
      </c>
      <c r="R16" s="7">
        <v>3939</v>
      </c>
      <c r="S16" s="7">
        <v>3416</v>
      </c>
      <c r="T16" s="7">
        <v>2895</v>
      </c>
      <c r="U16" s="7">
        <v>2433</v>
      </c>
      <c r="V16" s="7">
        <v>1886</v>
      </c>
      <c r="W16" s="7">
        <v>1469</v>
      </c>
      <c r="X16" s="7">
        <v>1234</v>
      </c>
      <c r="Y16" s="7">
        <v>804</v>
      </c>
      <c r="Z16" s="7">
        <v>499</v>
      </c>
      <c r="AA16" s="7">
        <v>300</v>
      </c>
      <c r="AB16" s="7">
        <v>151</v>
      </c>
      <c r="AC16" s="7">
        <v>39</v>
      </c>
      <c r="AD16" s="7">
        <v>3</v>
      </c>
      <c r="AE16" s="7">
        <v>53253</v>
      </c>
    </row>
    <row r="17" spans="1:31" ht="23" x14ac:dyDescent="0.35">
      <c r="A17" s="4" t="s">
        <v>30</v>
      </c>
      <c r="B17" s="4" t="s">
        <v>31</v>
      </c>
      <c r="C17" s="4" t="s">
        <v>48</v>
      </c>
      <c r="D17" s="5">
        <v>170117</v>
      </c>
      <c r="E17" s="5" t="str">
        <f>VLOOKUP(C17,'[1]tasa de crec'!$C$13:$D$78,2,0)</f>
        <v>CENTRO NORTE</v>
      </c>
      <c r="F17" s="7">
        <v>14006</v>
      </c>
      <c r="G17" s="7">
        <v>16239</v>
      </c>
      <c r="H17" s="7">
        <v>30245</v>
      </c>
      <c r="I17" s="7">
        <v>201</v>
      </c>
      <c r="J17" s="7">
        <v>922</v>
      </c>
      <c r="K17" s="7">
        <v>1452</v>
      </c>
      <c r="L17" s="7">
        <v>1614</v>
      </c>
      <c r="M17" s="7">
        <v>1701</v>
      </c>
      <c r="N17" s="7">
        <v>2086</v>
      </c>
      <c r="O17" s="7">
        <v>2242</v>
      </c>
      <c r="P17" s="7">
        <v>2503</v>
      </c>
      <c r="Q17" s="7">
        <v>2340</v>
      </c>
      <c r="R17" s="7">
        <v>1998</v>
      </c>
      <c r="S17" s="7">
        <v>1816</v>
      </c>
      <c r="T17" s="7">
        <v>1929</v>
      </c>
      <c r="U17" s="7">
        <v>1931</v>
      </c>
      <c r="V17" s="7">
        <v>1760</v>
      </c>
      <c r="W17" s="7">
        <v>1550</v>
      </c>
      <c r="X17" s="7">
        <v>1293</v>
      </c>
      <c r="Y17" s="7">
        <v>1084</v>
      </c>
      <c r="Z17" s="7">
        <v>893</v>
      </c>
      <c r="AA17" s="7">
        <v>567</v>
      </c>
      <c r="AB17" s="7">
        <v>278</v>
      </c>
      <c r="AC17" s="7">
        <v>73</v>
      </c>
      <c r="AD17" s="7">
        <v>12</v>
      </c>
      <c r="AE17" s="7">
        <v>30245</v>
      </c>
    </row>
    <row r="18" spans="1:31" x14ac:dyDescent="0.35">
      <c r="A18" s="4" t="s">
        <v>30</v>
      </c>
      <c r="B18" s="4" t="s">
        <v>31</v>
      </c>
      <c r="C18" s="4" t="s">
        <v>49</v>
      </c>
      <c r="D18" s="5">
        <v>170156</v>
      </c>
      <c r="E18" s="5" t="str">
        <f>VLOOKUP(C18,'[1]tasa de crec'!$C$13:$D$78,2,0)</f>
        <v>VALLE1</v>
      </c>
      <c r="F18" s="6">
        <v>61279</v>
      </c>
      <c r="G18" s="6">
        <v>66536</v>
      </c>
      <c r="H18" s="6">
        <v>127815</v>
      </c>
      <c r="I18" s="6">
        <v>1097</v>
      </c>
      <c r="J18" s="6">
        <v>5471</v>
      </c>
      <c r="K18" s="6">
        <v>8862</v>
      </c>
      <c r="L18" s="6">
        <v>9819</v>
      </c>
      <c r="M18" s="6">
        <v>9978</v>
      </c>
      <c r="N18" s="6">
        <v>9886</v>
      </c>
      <c r="O18" s="6">
        <v>9820</v>
      </c>
      <c r="P18" s="6">
        <v>9835</v>
      </c>
      <c r="Q18" s="6">
        <v>10507</v>
      </c>
      <c r="R18" s="6">
        <v>10149</v>
      </c>
      <c r="S18" s="6">
        <v>8605</v>
      </c>
      <c r="T18" s="6">
        <v>7429</v>
      </c>
      <c r="U18" s="6">
        <v>7015</v>
      </c>
      <c r="V18" s="6">
        <v>6023</v>
      </c>
      <c r="W18" s="6">
        <v>4796</v>
      </c>
      <c r="X18" s="6">
        <v>3434</v>
      </c>
      <c r="Y18" s="6">
        <v>2286</v>
      </c>
      <c r="Z18" s="6">
        <v>1418</v>
      </c>
      <c r="AA18" s="6">
        <v>805</v>
      </c>
      <c r="AB18" s="6">
        <v>424</v>
      </c>
      <c r="AC18" s="6">
        <v>132</v>
      </c>
      <c r="AD18" s="6">
        <v>24</v>
      </c>
      <c r="AE18" s="6">
        <v>127815</v>
      </c>
    </row>
    <row r="19" spans="1:31" x14ac:dyDescent="0.35">
      <c r="A19" s="4" t="s">
        <v>30</v>
      </c>
      <c r="B19" s="4" t="s">
        <v>31</v>
      </c>
      <c r="C19" s="4" t="s">
        <v>50</v>
      </c>
      <c r="D19" s="5">
        <v>170106</v>
      </c>
      <c r="E19" s="5" t="str">
        <f>VLOOKUP(C19,'[1]tasa de crec'!$C$13:$D$78,2,0)</f>
        <v>NORTE</v>
      </c>
      <c r="F19" s="7">
        <v>13244</v>
      </c>
      <c r="G19" s="7">
        <v>15335</v>
      </c>
      <c r="H19" s="7">
        <v>28579</v>
      </c>
      <c r="I19" s="7">
        <v>189</v>
      </c>
      <c r="J19" s="7">
        <v>1008</v>
      </c>
      <c r="K19" s="7">
        <v>1588</v>
      </c>
      <c r="L19" s="7">
        <v>1898</v>
      </c>
      <c r="M19" s="7">
        <v>1981</v>
      </c>
      <c r="N19" s="7">
        <v>2065</v>
      </c>
      <c r="O19" s="7">
        <v>2219</v>
      </c>
      <c r="P19" s="7">
        <v>2292</v>
      </c>
      <c r="Q19" s="7">
        <v>2165</v>
      </c>
      <c r="R19" s="7">
        <v>2173</v>
      </c>
      <c r="S19" s="7">
        <v>1804</v>
      </c>
      <c r="T19" s="7">
        <v>1686</v>
      </c>
      <c r="U19" s="7">
        <v>1584</v>
      </c>
      <c r="V19" s="7">
        <v>1583</v>
      </c>
      <c r="W19" s="7">
        <v>1336</v>
      </c>
      <c r="X19" s="7">
        <v>1153</v>
      </c>
      <c r="Y19" s="7">
        <v>806</v>
      </c>
      <c r="Z19" s="7">
        <v>539</v>
      </c>
      <c r="AA19" s="7">
        <v>299</v>
      </c>
      <c r="AB19" s="7">
        <v>175</v>
      </c>
      <c r="AC19" s="7">
        <v>32</v>
      </c>
      <c r="AD19" s="7">
        <v>4</v>
      </c>
      <c r="AE19" s="7">
        <v>28579</v>
      </c>
    </row>
    <row r="20" spans="1:31" x14ac:dyDescent="0.35">
      <c r="A20" s="4" t="s">
        <v>30</v>
      </c>
      <c r="B20" s="4" t="s">
        <v>31</v>
      </c>
      <c r="C20" s="4" t="s">
        <v>51</v>
      </c>
      <c r="D20" s="5">
        <v>170157</v>
      </c>
      <c r="E20" s="5" t="str">
        <f>VLOOKUP(C20,'[1]tasa de crec'!$C$13:$D$78,2,0)</f>
        <v>VALLES</v>
      </c>
      <c r="F20" s="6">
        <v>20028</v>
      </c>
      <c r="G20" s="6">
        <v>21791</v>
      </c>
      <c r="H20" s="6">
        <v>41819</v>
      </c>
      <c r="I20" s="6">
        <v>330</v>
      </c>
      <c r="J20" s="6">
        <v>1506</v>
      </c>
      <c r="K20" s="6">
        <v>2540</v>
      </c>
      <c r="L20" s="6">
        <v>2929</v>
      </c>
      <c r="M20" s="6">
        <v>3064</v>
      </c>
      <c r="N20" s="6">
        <v>3175</v>
      </c>
      <c r="O20" s="6">
        <v>2863</v>
      </c>
      <c r="P20" s="6">
        <v>2864</v>
      </c>
      <c r="Q20" s="6">
        <v>3054</v>
      </c>
      <c r="R20" s="6">
        <v>3194</v>
      </c>
      <c r="S20" s="6">
        <v>3151</v>
      </c>
      <c r="T20" s="6">
        <v>2904</v>
      </c>
      <c r="U20" s="6">
        <v>2466</v>
      </c>
      <c r="V20" s="6">
        <v>2219</v>
      </c>
      <c r="W20" s="6">
        <v>1910</v>
      </c>
      <c r="X20" s="6">
        <v>1395</v>
      </c>
      <c r="Y20" s="6">
        <v>991</v>
      </c>
      <c r="Z20" s="6">
        <v>617</v>
      </c>
      <c r="AA20" s="6">
        <v>365</v>
      </c>
      <c r="AB20" s="6">
        <v>208</v>
      </c>
      <c r="AC20" s="6">
        <v>69</v>
      </c>
      <c r="AD20" s="6">
        <v>5</v>
      </c>
      <c r="AE20" s="6">
        <v>41819</v>
      </c>
    </row>
    <row r="21" spans="1:31" x14ac:dyDescent="0.35">
      <c r="A21" s="4" t="s">
        <v>30</v>
      </c>
      <c r="B21" s="4" t="s">
        <v>31</v>
      </c>
      <c r="C21" s="4" t="s">
        <v>52</v>
      </c>
      <c r="D21" s="5">
        <v>170110</v>
      </c>
      <c r="E21" s="5" t="str">
        <f>VLOOKUP(C21,'[1]tasa de crec'!$C$13:$D$78,2,0)</f>
        <v>NORTE</v>
      </c>
      <c r="F21" s="7">
        <v>56332</v>
      </c>
      <c r="G21" s="7">
        <v>59629</v>
      </c>
      <c r="H21" s="7">
        <v>115961</v>
      </c>
      <c r="I21" s="7">
        <v>1378</v>
      </c>
      <c r="J21" s="7">
        <v>6332</v>
      </c>
      <c r="K21" s="7">
        <v>9543</v>
      </c>
      <c r="L21" s="7">
        <v>10887</v>
      </c>
      <c r="M21" s="7">
        <v>10498</v>
      </c>
      <c r="N21" s="7">
        <v>10592</v>
      </c>
      <c r="O21" s="7">
        <v>10082</v>
      </c>
      <c r="P21" s="7">
        <v>9363</v>
      </c>
      <c r="Q21" s="7">
        <v>9372</v>
      </c>
      <c r="R21" s="7">
        <v>8531</v>
      </c>
      <c r="S21" s="7">
        <v>6764</v>
      </c>
      <c r="T21" s="7">
        <v>5673</v>
      </c>
      <c r="U21" s="7">
        <v>4761</v>
      </c>
      <c r="V21" s="7">
        <v>4134</v>
      </c>
      <c r="W21" s="7">
        <v>3066</v>
      </c>
      <c r="X21" s="7">
        <v>2130</v>
      </c>
      <c r="Y21" s="7">
        <v>1342</v>
      </c>
      <c r="Z21" s="7">
        <v>790</v>
      </c>
      <c r="AA21" s="7">
        <v>442</v>
      </c>
      <c r="AB21" s="7">
        <v>204</v>
      </c>
      <c r="AC21" s="7">
        <v>70</v>
      </c>
      <c r="AD21" s="7">
        <v>7</v>
      </c>
      <c r="AE21" s="7">
        <v>115961</v>
      </c>
    </row>
    <row r="22" spans="1:31" x14ac:dyDescent="0.35">
      <c r="A22" s="4" t="s">
        <v>30</v>
      </c>
      <c r="B22" s="4" t="s">
        <v>31</v>
      </c>
      <c r="C22" s="4" t="s">
        <v>53</v>
      </c>
      <c r="D22" s="5">
        <v>170160</v>
      </c>
      <c r="E22" s="5" t="str">
        <f>VLOOKUP(C22,'[1]tasa de crec'!$C$13:$D$78,2,0)</f>
        <v>RURAL</v>
      </c>
      <c r="F22" s="6">
        <v>9096</v>
      </c>
      <c r="G22" s="6">
        <v>9389</v>
      </c>
      <c r="H22" s="6">
        <v>18485</v>
      </c>
      <c r="I22" s="6">
        <v>263</v>
      </c>
      <c r="J22" s="6">
        <v>1094</v>
      </c>
      <c r="K22" s="6">
        <v>1581</v>
      </c>
      <c r="L22" s="6">
        <v>1567</v>
      </c>
      <c r="M22" s="6">
        <v>1733</v>
      </c>
      <c r="N22" s="6">
        <v>1843</v>
      </c>
      <c r="O22" s="6">
        <v>1735</v>
      </c>
      <c r="P22" s="6">
        <v>1405</v>
      </c>
      <c r="Q22" s="6">
        <v>1346</v>
      </c>
      <c r="R22" s="6">
        <v>1248</v>
      </c>
      <c r="S22" s="6">
        <v>1096</v>
      </c>
      <c r="T22" s="6">
        <v>893</v>
      </c>
      <c r="U22" s="6">
        <v>653</v>
      </c>
      <c r="V22" s="6">
        <v>581</v>
      </c>
      <c r="W22" s="6">
        <v>452</v>
      </c>
      <c r="X22" s="6">
        <v>366</v>
      </c>
      <c r="Y22" s="6">
        <v>271</v>
      </c>
      <c r="Z22" s="6">
        <v>186</v>
      </c>
      <c r="AA22" s="6">
        <v>92</v>
      </c>
      <c r="AB22" s="6">
        <v>62</v>
      </c>
      <c r="AC22" s="6">
        <v>17</v>
      </c>
      <c r="AD22" s="6">
        <v>1</v>
      </c>
      <c r="AE22" s="6">
        <v>18485</v>
      </c>
    </row>
    <row r="23" spans="1:31" x14ac:dyDescent="0.35">
      <c r="A23" s="4" t="s">
        <v>30</v>
      </c>
      <c r="B23" s="4" t="s">
        <v>31</v>
      </c>
      <c r="C23" s="4" t="s">
        <v>54</v>
      </c>
      <c r="D23" s="5">
        <v>170161</v>
      </c>
      <c r="E23" s="5" t="str">
        <f>VLOOKUP(C23,'[1]tasa de crec'!$C$13:$D$78,2,0)</f>
        <v>RURAL</v>
      </c>
      <c r="F23" s="6">
        <v>840</v>
      </c>
      <c r="G23" s="6">
        <v>864</v>
      </c>
      <c r="H23" s="6">
        <v>1704</v>
      </c>
      <c r="I23" s="6">
        <v>21</v>
      </c>
      <c r="J23" s="6">
        <v>96</v>
      </c>
      <c r="K23" s="6">
        <v>125</v>
      </c>
      <c r="L23" s="6">
        <v>150</v>
      </c>
      <c r="M23" s="6">
        <v>154</v>
      </c>
      <c r="N23" s="6">
        <v>131</v>
      </c>
      <c r="O23" s="6">
        <v>115</v>
      </c>
      <c r="P23" s="6">
        <v>81</v>
      </c>
      <c r="Q23" s="6">
        <v>98</v>
      </c>
      <c r="R23" s="6">
        <v>88</v>
      </c>
      <c r="S23" s="6">
        <v>94</v>
      </c>
      <c r="T23" s="6">
        <v>109</v>
      </c>
      <c r="U23" s="6">
        <v>77</v>
      </c>
      <c r="V23" s="6">
        <v>86</v>
      </c>
      <c r="W23" s="6">
        <v>74</v>
      </c>
      <c r="X23" s="6">
        <v>63</v>
      </c>
      <c r="Y23" s="6">
        <v>52</v>
      </c>
      <c r="Z23" s="6">
        <v>52</v>
      </c>
      <c r="AA23" s="6">
        <v>25</v>
      </c>
      <c r="AB23" s="6">
        <v>5</v>
      </c>
      <c r="AC23" s="6">
        <v>6</v>
      </c>
      <c r="AD23" s="6">
        <v>2</v>
      </c>
      <c r="AE23" s="6">
        <v>1704</v>
      </c>
    </row>
    <row r="24" spans="1:31" x14ac:dyDescent="0.35">
      <c r="A24" s="4" t="s">
        <v>30</v>
      </c>
      <c r="B24" s="4" t="s">
        <v>31</v>
      </c>
      <c r="C24" s="4" t="s">
        <v>55</v>
      </c>
      <c r="D24" s="5">
        <v>170111</v>
      </c>
      <c r="E24" s="5" t="str">
        <f>VLOOKUP(C24,'[1]tasa de crec'!$C$13:$D$78,2,0)</f>
        <v>SUR</v>
      </c>
      <c r="F24" s="7">
        <v>48948</v>
      </c>
      <c r="G24" s="7">
        <v>51426</v>
      </c>
      <c r="H24" s="7">
        <v>100374</v>
      </c>
      <c r="I24" s="7">
        <v>1424</v>
      </c>
      <c r="J24" s="7">
        <v>6368</v>
      </c>
      <c r="K24" s="7">
        <v>8713</v>
      </c>
      <c r="L24" s="7">
        <v>9901</v>
      </c>
      <c r="M24" s="7">
        <v>9670</v>
      </c>
      <c r="N24" s="7">
        <v>9636</v>
      </c>
      <c r="O24" s="7">
        <v>8958</v>
      </c>
      <c r="P24" s="7">
        <v>8131</v>
      </c>
      <c r="Q24" s="7">
        <v>7801</v>
      </c>
      <c r="R24" s="7">
        <v>7064</v>
      </c>
      <c r="S24" s="7">
        <v>5784</v>
      </c>
      <c r="T24" s="7">
        <v>4713</v>
      </c>
      <c r="U24" s="7">
        <v>3722</v>
      </c>
      <c r="V24" s="7">
        <v>2990</v>
      </c>
      <c r="W24" s="7">
        <v>2197</v>
      </c>
      <c r="X24" s="7">
        <v>1413</v>
      </c>
      <c r="Y24" s="7">
        <v>837</v>
      </c>
      <c r="Z24" s="7">
        <v>565</v>
      </c>
      <c r="AA24" s="7">
        <v>300</v>
      </c>
      <c r="AB24" s="7">
        <v>148</v>
      </c>
      <c r="AC24" s="7">
        <v>36</v>
      </c>
      <c r="AD24" s="7">
        <v>3</v>
      </c>
      <c r="AE24" s="7">
        <v>100374</v>
      </c>
    </row>
    <row r="25" spans="1:31" x14ac:dyDescent="0.35">
      <c r="A25" s="4" t="s">
        <v>30</v>
      </c>
      <c r="B25" s="4" t="s">
        <v>31</v>
      </c>
      <c r="C25" s="4" t="s">
        <v>56</v>
      </c>
      <c r="D25" s="5">
        <v>170162</v>
      </c>
      <c r="E25" s="5" t="str">
        <f>VLOOKUP(C25,'[1]tasa de crec'!$C$13:$D$78,2,0)</f>
        <v>VALLE1</v>
      </c>
      <c r="F25" s="6">
        <v>2105</v>
      </c>
      <c r="G25" s="6">
        <v>2231</v>
      </c>
      <c r="H25" s="6">
        <v>4336</v>
      </c>
      <c r="I25" s="6">
        <v>67</v>
      </c>
      <c r="J25" s="6">
        <v>225</v>
      </c>
      <c r="K25" s="6">
        <v>328</v>
      </c>
      <c r="L25" s="6">
        <v>396</v>
      </c>
      <c r="M25" s="6">
        <v>440</v>
      </c>
      <c r="N25" s="6">
        <v>356</v>
      </c>
      <c r="O25" s="6">
        <v>401</v>
      </c>
      <c r="P25" s="6">
        <v>361</v>
      </c>
      <c r="Q25" s="6">
        <v>316</v>
      </c>
      <c r="R25" s="6">
        <v>305</v>
      </c>
      <c r="S25" s="6">
        <v>239</v>
      </c>
      <c r="T25" s="6">
        <v>228</v>
      </c>
      <c r="U25" s="6">
        <v>203</v>
      </c>
      <c r="V25" s="6">
        <v>158</v>
      </c>
      <c r="W25" s="6">
        <v>112</v>
      </c>
      <c r="X25" s="6">
        <v>79</v>
      </c>
      <c r="Y25" s="6">
        <v>51</v>
      </c>
      <c r="Z25" s="6">
        <v>31</v>
      </c>
      <c r="AA25" s="6">
        <v>24</v>
      </c>
      <c r="AB25" s="6">
        <v>13</v>
      </c>
      <c r="AC25" s="6">
        <v>1</v>
      </c>
      <c r="AD25" s="6">
        <v>2</v>
      </c>
      <c r="AE25" s="6">
        <v>4336</v>
      </c>
    </row>
    <row r="26" spans="1:31" x14ac:dyDescent="0.35">
      <c r="A26" s="4" t="s">
        <v>30</v>
      </c>
      <c r="B26" s="4" t="s">
        <v>31</v>
      </c>
      <c r="C26" s="4" t="s">
        <v>57</v>
      </c>
      <c r="D26" s="5">
        <v>170163</v>
      </c>
      <c r="E26" s="5" t="str">
        <f>VLOOKUP(C26,'[1]tasa de crec'!$C$13:$D$78,2,0)</f>
        <v>RURAL</v>
      </c>
      <c r="F26" s="6">
        <v>10145</v>
      </c>
      <c r="G26" s="6">
        <v>10439</v>
      </c>
      <c r="H26" s="6">
        <v>20584</v>
      </c>
      <c r="I26" s="6">
        <v>291</v>
      </c>
      <c r="J26" s="6">
        <v>1135</v>
      </c>
      <c r="K26" s="6">
        <v>1547</v>
      </c>
      <c r="L26" s="6">
        <v>1775</v>
      </c>
      <c r="M26" s="6">
        <v>1819</v>
      </c>
      <c r="N26" s="6">
        <v>1956</v>
      </c>
      <c r="O26" s="6">
        <v>1840</v>
      </c>
      <c r="P26" s="6">
        <v>1563</v>
      </c>
      <c r="Q26" s="6">
        <v>1574</v>
      </c>
      <c r="R26" s="6">
        <v>1393</v>
      </c>
      <c r="S26" s="6">
        <v>1200</v>
      </c>
      <c r="T26" s="6">
        <v>1036</v>
      </c>
      <c r="U26" s="6">
        <v>871</v>
      </c>
      <c r="V26" s="6">
        <v>703</v>
      </c>
      <c r="W26" s="6">
        <v>618</v>
      </c>
      <c r="X26" s="6">
        <v>455</v>
      </c>
      <c r="Y26" s="6">
        <v>368</v>
      </c>
      <c r="Z26" s="6">
        <v>207</v>
      </c>
      <c r="AA26" s="6">
        <v>124</v>
      </c>
      <c r="AB26" s="6">
        <v>75</v>
      </c>
      <c r="AC26" s="6">
        <v>32</v>
      </c>
      <c r="AD26" s="6">
        <v>2</v>
      </c>
      <c r="AE26" s="6">
        <v>20584</v>
      </c>
    </row>
    <row r="27" spans="1:31" ht="23" x14ac:dyDescent="0.35">
      <c r="A27" s="4" t="s">
        <v>30</v>
      </c>
      <c r="B27" s="4" t="s">
        <v>31</v>
      </c>
      <c r="C27" s="4" t="s">
        <v>58</v>
      </c>
      <c r="D27" s="5">
        <v>170112</v>
      </c>
      <c r="E27" s="5" t="str">
        <f>VLOOKUP(C27,'[1]tasa de crec'!$C$13:$D$78,2,0)</f>
        <v>CENTRO NORTE</v>
      </c>
      <c r="F27" s="7">
        <v>25963</v>
      </c>
      <c r="G27" s="7">
        <v>30221</v>
      </c>
      <c r="H27" s="7">
        <v>56184</v>
      </c>
      <c r="I27" s="7">
        <v>435</v>
      </c>
      <c r="J27" s="7">
        <v>1688</v>
      </c>
      <c r="K27" s="7">
        <v>2329</v>
      </c>
      <c r="L27" s="7">
        <v>2056</v>
      </c>
      <c r="M27" s="7">
        <v>2232</v>
      </c>
      <c r="N27" s="7">
        <v>2873</v>
      </c>
      <c r="O27" s="7">
        <v>4703</v>
      </c>
      <c r="P27" s="7">
        <v>6485</v>
      </c>
      <c r="Q27" s="7">
        <v>6096</v>
      </c>
      <c r="R27" s="7">
        <v>4644</v>
      </c>
      <c r="S27" s="7">
        <v>3556</v>
      </c>
      <c r="T27" s="7">
        <v>3074</v>
      </c>
      <c r="U27" s="7">
        <v>3091</v>
      </c>
      <c r="V27" s="7">
        <v>3228</v>
      </c>
      <c r="W27" s="7">
        <v>2782</v>
      </c>
      <c r="X27" s="7">
        <v>2481</v>
      </c>
      <c r="Y27" s="7">
        <v>1801</v>
      </c>
      <c r="Z27" s="7">
        <v>1309</v>
      </c>
      <c r="AA27" s="7">
        <v>756</v>
      </c>
      <c r="AB27" s="7">
        <v>394</v>
      </c>
      <c r="AC27" s="7">
        <v>155</v>
      </c>
      <c r="AD27" s="7">
        <v>16</v>
      </c>
      <c r="AE27" s="7">
        <v>56184</v>
      </c>
    </row>
    <row r="28" spans="1:31" x14ac:dyDescent="0.35">
      <c r="A28" s="4" t="s">
        <v>30</v>
      </c>
      <c r="B28" s="4" t="s">
        <v>31</v>
      </c>
      <c r="C28" s="4" t="s">
        <v>59</v>
      </c>
      <c r="D28" s="5">
        <v>170113</v>
      </c>
      <c r="E28" s="5" t="str">
        <f>VLOOKUP(C28,'[1]tasa de crec'!$C$13:$D$78,2,0)</f>
        <v>CENTRO</v>
      </c>
      <c r="F28" s="7">
        <v>15449</v>
      </c>
      <c r="G28" s="7">
        <v>17161</v>
      </c>
      <c r="H28" s="7">
        <v>32610</v>
      </c>
      <c r="I28" s="7">
        <v>232</v>
      </c>
      <c r="J28" s="7">
        <v>1035</v>
      </c>
      <c r="K28" s="7">
        <v>1691</v>
      </c>
      <c r="L28" s="7">
        <v>1976</v>
      </c>
      <c r="M28" s="7">
        <v>2206</v>
      </c>
      <c r="N28" s="7">
        <v>2785</v>
      </c>
      <c r="O28" s="7">
        <v>2853</v>
      </c>
      <c r="P28" s="7">
        <v>2830</v>
      </c>
      <c r="Q28" s="7">
        <v>2455</v>
      </c>
      <c r="R28" s="7">
        <v>2175</v>
      </c>
      <c r="S28" s="7">
        <v>1889</v>
      </c>
      <c r="T28" s="7">
        <v>2001</v>
      </c>
      <c r="U28" s="7">
        <v>1970</v>
      </c>
      <c r="V28" s="7">
        <v>1867</v>
      </c>
      <c r="W28" s="7">
        <v>1454</v>
      </c>
      <c r="X28" s="7">
        <v>1129</v>
      </c>
      <c r="Y28" s="7">
        <v>804</v>
      </c>
      <c r="Z28" s="7">
        <v>592</v>
      </c>
      <c r="AA28" s="7">
        <v>393</v>
      </c>
      <c r="AB28" s="7">
        <v>200</v>
      </c>
      <c r="AC28" s="7">
        <v>62</v>
      </c>
      <c r="AD28" s="7">
        <v>11</v>
      </c>
      <c r="AE28" s="7">
        <v>32610</v>
      </c>
    </row>
    <row r="29" spans="1:31" ht="23" x14ac:dyDescent="0.35">
      <c r="A29" s="4" t="s">
        <v>30</v>
      </c>
      <c r="B29" s="4" t="s">
        <v>31</v>
      </c>
      <c r="C29" s="4" t="s">
        <v>60</v>
      </c>
      <c r="D29" s="5">
        <v>170114</v>
      </c>
      <c r="E29" s="5" t="str">
        <f>VLOOKUP(C29,'[1]tasa de crec'!$C$13:$D$78,2,0)</f>
        <v>CENTRO NORTE</v>
      </c>
      <c r="F29" s="7">
        <v>17452</v>
      </c>
      <c r="G29" s="7">
        <v>20039</v>
      </c>
      <c r="H29" s="7">
        <v>37491</v>
      </c>
      <c r="I29" s="7">
        <v>274</v>
      </c>
      <c r="J29" s="7">
        <v>1185</v>
      </c>
      <c r="K29" s="7">
        <v>1926</v>
      </c>
      <c r="L29" s="7">
        <v>2090</v>
      </c>
      <c r="M29" s="7">
        <v>2254</v>
      </c>
      <c r="N29" s="7">
        <v>2808</v>
      </c>
      <c r="O29" s="7">
        <v>3142</v>
      </c>
      <c r="P29" s="7">
        <v>3470</v>
      </c>
      <c r="Q29" s="7">
        <v>3308</v>
      </c>
      <c r="R29" s="7">
        <v>2799</v>
      </c>
      <c r="S29" s="7">
        <v>2381</v>
      </c>
      <c r="T29" s="7">
        <v>2153</v>
      </c>
      <c r="U29" s="7">
        <v>2090</v>
      </c>
      <c r="V29" s="7">
        <v>2043</v>
      </c>
      <c r="W29" s="7">
        <v>1804</v>
      </c>
      <c r="X29" s="7">
        <v>1408</v>
      </c>
      <c r="Y29" s="7">
        <v>963</v>
      </c>
      <c r="Z29" s="7">
        <v>707</v>
      </c>
      <c r="AA29" s="7">
        <v>401</v>
      </c>
      <c r="AB29" s="7">
        <v>192</v>
      </c>
      <c r="AC29" s="7">
        <v>78</v>
      </c>
      <c r="AD29" s="7">
        <v>15</v>
      </c>
      <c r="AE29" s="7">
        <v>37491</v>
      </c>
    </row>
    <row r="30" spans="1:31" ht="23" x14ac:dyDescent="0.35">
      <c r="A30" s="4" t="s">
        <v>30</v>
      </c>
      <c r="B30" s="4" t="s">
        <v>31</v>
      </c>
      <c r="C30" s="4" t="s">
        <v>61</v>
      </c>
      <c r="D30" s="5">
        <v>170115</v>
      </c>
      <c r="E30" s="5" t="str">
        <f>VLOOKUP(C30,'[1]tasa de crec'!$C$13:$D$78,2,0)</f>
        <v>CENTRO NORTE</v>
      </c>
      <c r="F30" s="7">
        <v>30165</v>
      </c>
      <c r="G30" s="7">
        <v>32844</v>
      </c>
      <c r="H30" s="7">
        <v>63009</v>
      </c>
      <c r="I30" s="7">
        <v>394</v>
      </c>
      <c r="J30" s="7">
        <v>2083</v>
      </c>
      <c r="K30" s="7">
        <v>3221</v>
      </c>
      <c r="L30" s="7">
        <v>3705</v>
      </c>
      <c r="M30" s="7">
        <v>3971</v>
      </c>
      <c r="N30" s="7">
        <v>4664</v>
      </c>
      <c r="O30" s="7">
        <v>5146</v>
      </c>
      <c r="P30" s="7">
        <v>5250</v>
      </c>
      <c r="Q30" s="7">
        <v>4871</v>
      </c>
      <c r="R30" s="7">
        <v>4692</v>
      </c>
      <c r="S30" s="7">
        <v>4081</v>
      </c>
      <c r="T30" s="7">
        <v>3899</v>
      </c>
      <c r="U30" s="7">
        <v>3634</v>
      </c>
      <c r="V30" s="7">
        <v>3295</v>
      </c>
      <c r="W30" s="7">
        <v>2917</v>
      </c>
      <c r="X30" s="7">
        <v>2490</v>
      </c>
      <c r="Y30" s="7">
        <v>1993</v>
      </c>
      <c r="Z30" s="7">
        <v>1407</v>
      </c>
      <c r="AA30" s="7">
        <v>779</v>
      </c>
      <c r="AB30" s="7">
        <v>395</v>
      </c>
      <c r="AC30" s="7">
        <v>102</v>
      </c>
      <c r="AD30" s="7">
        <v>20</v>
      </c>
      <c r="AE30" s="7">
        <v>63009</v>
      </c>
    </row>
    <row r="31" spans="1:31" x14ac:dyDescent="0.35">
      <c r="A31" s="4" t="s">
        <v>30</v>
      </c>
      <c r="B31" s="4" t="s">
        <v>31</v>
      </c>
      <c r="C31" s="4" t="s">
        <v>62</v>
      </c>
      <c r="D31" s="5">
        <v>170116</v>
      </c>
      <c r="E31" s="5" t="str">
        <f>VLOOKUP(C31,'[1]tasa de crec'!$C$13:$D$78,2,0)</f>
        <v>SUR</v>
      </c>
      <c r="F31" s="7">
        <v>29636</v>
      </c>
      <c r="G31" s="7">
        <v>31731</v>
      </c>
      <c r="H31" s="7">
        <v>61367</v>
      </c>
      <c r="I31" s="7">
        <v>725</v>
      </c>
      <c r="J31" s="7">
        <v>3509</v>
      </c>
      <c r="K31" s="7">
        <v>5090</v>
      </c>
      <c r="L31" s="7">
        <v>5647</v>
      </c>
      <c r="M31" s="7">
        <v>5655</v>
      </c>
      <c r="N31" s="7">
        <v>5407</v>
      </c>
      <c r="O31" s="7">
        <v>5289</v>
      </c>
      <c r="P31" s="7">
        <v>4957</v>
      </c>
      <c r="Q31" s="7">
        <v>4822</v>
      </c>
      <c r="R31" s="7">
        <v>4520</v>
      </c>
      <c r="S31" s="7">
        <v>3517</v>
      </c>
      <c r="T31" s="7">
        <v>2981</v>
      </c>
      <c r="U31" s="7">
        <v>2422</v>
      </c>
      <c r="V31" s="7">
        <v>2086</v>
      </c>
      <c r="W31" s="7">
        <v>1656</v>
      </c>
      <c r="X31" s="7">
        <v>1215</v>
      </c>
      <c r="Y31" s="7">
        <v>847</v>
      </c>
      <c r="Z31" s="7">
        <v>559</v>
      </c>
      <c r="AA31" s="7">
        <v>285</v>
      </c>
      <c r="AB31" s="7">
        <v>137</v>
      </c>
      <c r="AC31" s="7">
        <v>40</v>
      </c>
      <c r="AD31" s="7">
        <v>1</v>
      </c>
      <c r="AE31" s="7">
        <v>61367</v>
      </c>
    </row>
    <row r="32" spans="1:31" x14ac:dyDescent="0.35">
      <c r="A32" s="4" t="s">
        <v>30</v>
      </c>
      <c r="B32" s="4" t="s">
        <v>31</v>
      </c>
      <c r="C32" s="4" t="s">
        <v>63</v>
      </c>
      <c r="D32" s="5">
        <v>170118</v>
      </c>
      <c r="E32" s="5" t="str">
        <f>VLOOKUP(C32,'[1]tasa de crec'!$C$13:$D$78,2,0)</f>
        <v>SUR</v>
      </c>
      <c r="F32" s="7">
        <v>36302</v>
      </c>
      <c r="G32" s="7">
        <v>38657</v>
      </c>
      <c r="H32" s="7">
        <v>74959</v>
      </c>
      <c r="I32" s="7">
        <v>982</v>
      </c>
      <c r="J32" s="7">
        <v>4197</v>
      </c>
      <c r="K32" s="7">
        <v>6309</v>
      </c>
      <c r="L32" s="7">
        <v>6999</v>
      </c>
      <c r="M32" s="7">
        <v>6935</v>
      </c>
      <c r="N32" s="7">
        <v>6866</v>
      </c>
      <c r="O32" s="7">
        <v>6544</v>
      </c>
      <c r="P32" s="7">
        <v>5995</v>
      </c>
      <c r="Q32" s="7">
        <v>5938</v>
      </c>
      <c r="R32" s="7">
        <v>5250</v>
      </c>
      <c r="S32" s="7">
        <v>4259</v>
      </c>
      <c r="T32" s="7">
        <v>3581</v>
      </c>
      <c r="U32" s="7">
        <v>3106</v>
      </c>
      <c r="V32" s="7">
        <v>2631</v>
      </c>
      <c r="W32" s="7">
        <v>2009</v>
      </c>
      <c r="X32" s="7">
        <v>1403</v>
      </c>
      <c r="Y32" s="7">
        <v>896</v>
      </c>
      <c r="Z32" s="7">
        <v>517</v>
      </c>
      <c r="AA32" s="7">
        <v>303</v>
      </c>
      <c r="AB32" s="7">
        <v>169</v>
      </c>
      <c r="AC32" s="7">
        <v>63</v>
      </c>
      <c r="AD32" s="7">
        <v>7</v>
      </c>
      <c r="AE32" s="7">
        <v>74959</v>
      </c>
    </row>
    <row r="33" spans="1:31" x14ac:dyDescent="0.35">
      <c r="A33" s="4" t="s">
        <v>30</v>
      </c>
      <c r="B33" s="4" t="s">
        <v>31</v>
      </c>
      <c r="C33" s="4" t="s">
        <v>64</v>
      </c>
      <c r="D33" s="5">
        <v>170119</v>
      </c>
      <c r="E33" s="5" t="str">
        <f>VLOOKUP(C33,'[1]tasa de crec'!$C$13:$D$78,2,0)</f>
        <v>SUR</v>
      </c>
      <c r="F33" s="7">
        <v>30024</v>
      </c>
      <c r="G33" s="7">
        <v>32071</v>
      </c>
      <c r="H33" s="7">
        <v>62095</v>
      </c>
      <c r="I33" s="7">
        <v>670</v>
      </c>
      <c r="J33" s="7">
        <v>3217</v>
      </c>
      <c r="K33" s="7">
        <v>4606</v>
      </c>
      <c r="L33" s="7">
        <v>5443</v>
      </c>
      <c r="M33" s="7">
        <v>5282</v>
      </c>
      <c r="N33" s="7">
        <v>5426</v>
      </c>
      <c r="O33" s="7">
        <v>5251</v>
      </c>
      <c r="P33" s="7">
        <v>4754</v>
      </c>
      <c r="Q33" s="7">
        <v>4475</v>
      </c>
      <c r="R33" s="7">
        <v>4193</v>
      </c>
      <c r="S33" s="7">
        <v>3792</v>
      </c>
      <c r="T33" s="7">
        <v>3383</v>
      </c>
      <c r="U33" s="7">
        <v>3115</v>
      </c>
      <c r="V33" s="7">
        <v>2529</v>
      </c>
      <c r="W33" s="7">
        <v>2108</v>
      </c>
      <c r="X33" s="7">
        <v>1387</v>
      </c>
      <c r="Y33" s="7">
        <v>980</v>
      </c>
      <c r="Z33" s="7">
        <v>733</v>
      </c>
      <c r="AA33" s="7">
        <v>444</v>
      </c>
      <c r="AB33" s="7">
        <v>228</v>
      </c>
      <c r="AC33" s="7">
        <v>68</v>
      </c>
      <c r="AD33" s="7">
        <v>11</v>
      </c>
      <c r="AE33" s="7">
        <v>62095</v>
      </c>
    </row>
    <row r="34" spans="1:31" x14ac:dyDescent="0.35">
      <c r="A34" s="4" t="s">
        <v>30</v>
      </c>
      <c r="B34" s="4" t="s">
        <v>31</v>
      </c>
      <c r="C34" s="4" t="s">
        <v>65</v>
      </c>
      <c r="D34" s="5">
        <v>170120</v>
      </c>
      <c r="E34" s="5" t="str">
        <f>VLOOKUP(C34,'[1]tasa de crec'!$C$13:$D$78,2,0)</f>
        <v>CENTRO</v>
      </c>
      <c r="F34" s="7">
        <v>11311</v>
      </c>
      <c r="G34" s="7">
        <v>11913</v>
      </c>
      <c r="H34" s="7">
        <v>23224</v>
      </c>
      <c r="I34" s="7">
        <v>286</v>
      </c>
      <c r="J34" s="7">
        <v>1293</v>
      </c>
      <c r="K34" s="7">
        <v>1787</v>
      </c>
      <c r="L34" s="7">
        <v>2023</v>
      </c>
      <c r="M34" s="7">
        <v>2099</v>
      </c>
      <c r="N34" s="7">
        <v>1973</v>
      </c>
      <c r="O34" s="7">
        <v>1856</v>
      </c>
      <c r="P34" s="7">
        <v>1826</v>
      </c>
      <c r="Q34" s="7">
        <v>1664</v>
      </c>
      <c r="R34" s="7">
        <v>1545</v>
      </c>
      <c r="S34" s="7">
        <v>1187</v>
      </c>
      <c r="T34" s="7">
        <v>1226</v>
      </c>
      <c r="U34" s="7">
        <v>1136</v>
      </c>
      <c r="V34" s="7">
        <v>964</v>
      </c>
      <c r="W34" s="7">
        <v>763</v>
      </c>
      <c r="X34" s="7">
        <v>603</v>
      </c>
      <c r="Y34" s="7">
        <v>450</v>
      </c>
      <c r="Z34" s="7">
        <v>282</v>
      </c>
      <c r="AA34" s="7">
        <v>167</v>
      </c>
      <c r="AB34" s="7">
        <v>63</v>
      </c>
      <c r="AC34" s="7">
        <v>28</v>
      </c>
      <c r="AD34" s="7">
        <v>3</v>
      </c>
      <c r="AE34" s="7">
        <v>23224</v>
      </c>
    </row>
    <row r="35" spans="1:31" x14ac:dyDescent="0.35">
      <c r="A35" s="4" t="s">
        <v>30</v>
      </c>
      <c r="B35" s="4" t="s">
        <v>31</v>
      </c>
      <c r="C35" s="4" t="s">
        <v>66</v>
      </c>
      <c r="D35" s="5">
        <v>170121</v>
      </c>
      <c r="E35" s="5" t="str">
        <f>VLOOKUP(C35,'[1]tasa de crec'!$C$13:$D$78,2,0)</f>
        <v>SUR</v>
      </c>
      <c r="F35" s="7">
        <v>12981</v>
      </c>
      <c r="G35" s="7">
        <v>14111</v>
      </c>
      <c r="H35" s="7">
        <v>27092</v>
      </c>
      <c r="I35" s="7">
        <v>182</v>
      </c>
      <c r="J35" s="7">
        <v>1020</v>
      </c>
      <c r="K35" s="7">
        <v>1557</v>
      </c>
      <c r="L35" s="7">
        <v>1839</v>
      </c>
      <c r="M35" s="7">
        <v>1911</v>
      </c>
      <c r="N35" s="7">
        <v>2058</v>
      </c>
      <c r="O35" s="7">
        <v>2274</v>
      </c>
      <c r="P35" s="7">
        <v>2203</v>
      </c>
      <c r="Q35" s="7">
        <v>2009</v>
      </c>
      <c r="R35" s="7">
        <v>1835</v>
      </c>
      <c r="S35" s="7">
        <v>1621</v>
      </c>
      <c r="T35" s="7">
        <v>1725</v>
      </c>
      <c r="U35" s="7">
        <v>1681</v>
      </c>
      <c r="V35" s="7">
        <v>1396</v>
      </c>
      <c r="W35" s="7">
        <v>1142</v>
      </c>
      <c r="X35" s="7">
        <v>844</v>
      </c>
      <c r="Y35" s="7">
        <v>670</v>
      </c>
      <c r="Z35" s="7">
        <v>527</v>
      </c>
      <c r="AA35" s="7">
        <v>345</v>
      </c>
      <c r="AB35" s="7">
        <v>153</v>
      </c>
      <c r="AC35" s="7">
        <v>57</v>
      </c>
      <c r="AD35" s="7">
        <v>43</v>
      </c>
      <c r="AE35" s="7">
        <v>27092</v>
      </c>
    </row>
    <row r="36" spans="1:31" x14ac:dyDescent="0.35">
      <c r="A36" s="4" t="s">
        <v>30</v>
      </c>
      <c r="B36" s="4" t="s">
        <v>31</v>
      </c>
      <c r="C36" s="4" t="s">
        <v>67</v>
      </c>
      <c r="D36" s="5">
        <v>170122</v>
      </c>
      <c r="E36" s="5" t="str">
        <f>VLOOKUP(C36,'[1]tasa de crec'!$C$13:$D$78,2,0)</f>
        <v>SUR</v>
      </c>
      <c r="F36" s="7">
        <v>23056</v>
      </c>
      <c r="G36" s="7">
        <v>24639</v>
      </c>
      <c r="H36" s="7">
        <v>47695</v>
      </c>
      <c r="I36" s="7">
        <v>473</v>
      </c>
      <c r="J36" s="7">
        <v>2358</v>
      </c>
      <c r="K36" s="7">
        <v>3596</v>
      </c>
      <c r="L36" s="7">
        <v>3949</v>
      </c>
      <c r="M36" s="7">
        <v>4091</v>
      </c>
      <c r="N36" s="7">
        <v>4249</v>
      </c>
      <c r="O36" s="7">
        <v>4023</v>
      </c>
      <c r="P36" s="7">
        <v>3640</v>
      </c>
      <c r="Q36" s="7">
        <v>3538</v>
      </c>
      <c r="R36" s="7">
        <v>3345</v>
      </c>
      <c r="S36" s="7">
        <v>2944</v>
      </c>
      <c r="T36" s="7">
        <v>2698</v>
      </c>
      <c r="U36" s="7">
        <v>2390</v>
      </c>
      <c r="V36" s="7">
        <v>1985</v>
      </c>
      <c r="W36" s="7">
        <v>1451</v>
      </c>
      <c r="X36" s="7">
        <v>1144</v>
      </c>
      <c r="Y36" s="7">
        <v>824</v>
      </c>
      <c r="Z36" s="7">
        <v>523</v>
      </c>
      <c r="AA36" s="7">
        <v>303</v>
      </c>
      <c r="AB36" s="7">
        <v>122</v>
      </c>
      <c r="AC36" s="7">
        <v>45</v>
      </c>
      <c r="AD36" s="7">
        <v>4</v>
      </c>
      <c r="AE36" s="7">
        <v>47695</v>
      </c>
    </row>
    <row r="37" spans="1:31" x14ac:dyDescent="0.35">
      <c r="A37" s="4" t="s">
        <v>30</v>
      </c>
      <c r="B37" s="4" t="s">
        <v>31</v>
      </c>
      <c r="C37" s="4" t="s">
        <v>68</v>
      </c>
      <c r="D37" s="5">
        <v>170164</v>
      </c>
      <c r="E37" s="5" t="str">
        <f>VLOOKUP(C37,'[1]tasa de crec'!$C$13:$D$78,2,0)</f>
        <v>VALLE1</v>
      </c>
      <c r="F37" s="6">
        <v>5624</v>
      </c>
      <c r="G37" s="6">
        <v>5814</v>
      </c>
      <c r="H37" s="6">
        <v>11438</v>
      </c>
      <c r="I37" s="6">
        <v>135</v>
      </c>
      <c r="J37" s="6">
        <v>639</v>
      </c>
      <c r="K37" s="6">
        <v>821</v>
      </c>
      <c r="L37" s="6">
        <v>1057</v>
      </c>
      <c r="M37" s="6">
        <v>1060</v>
      </c>
      <c r="N37" s="6">
        <v>974</v>
      </c>
      <c r="O37" s="6">
        <v>983</v>
      </c>
      <c r="P37" s="6">
        <v>891</v>
      </c>
      <c r="Q37" s="6">
        <v>931</v>
      </c>
      <c r="R37" s="6">
        <v>831</v>
      </c>
      <c r="S37" s="6">
        <v>665</v>
      </c>
      <c r="T37" s="6">
        <v>544</v>
      </c>
      <c r="U37" s="6">
        <v>487</v>
      </c>
      <c r="V37" s="6">
        <v>397</v>
      </c>
      <c r="W37" s="6">
        <v>375</v>
      </c>
      <c r="X37" s="6">
        <v>254</v>
      </c>
      <c r="Y37" s="6">
        <v>172</v>
      </c>
      <c r="Z37" s="6">
        <v>119</v>
      </c>
      <c r="AA37" s="6">
        <v>55</v>
      </c>
      <c r="AB37" s="6">
        <v>35</v>
      </c>
      <c r="AC37" s="6">
        <v>11</v>
      </c>
      <c r="AD37" s="6">
        <v>2</v>
      </c>
      <c r="AE37" s="6">
        <v>11438</v>
      </c>
    </row>
    <row r="38" spans="1:31" x14ac:dyDescent="0.35">
      <c r="A38" s="4" t="s">
        <v>30</v>
      </c>
      <c r="B38" s="4" t="s">
        <v>31</v>
      </c>
      <c r="C38" s="4" t="s">
        <v>69</v>
      </c>
      <c r="D38" s="5">
        <v>170165</v>
      </c>
      <c r="E38" s="5" t="str">
        <f>VLOOKUP(C38,'[1]tasa de crec'!$C$13:$D$78,2,0)</f>
        <v>NORTE</v>
      </c>
      <c r="F38" s="6">
        <v>7339</v>
      </c>
      <c r="G38" s="6">
        <v>7774</v>
      </c>
      <c r="H38" s="6">
        <v>15113</v>
      </c>
      <c r="I38" s="6">
        <v>150</v>
      </c>
      <c r="J38" s="6">
        <v>816</v>
      </c>
      <c r="K38" s="6">
        <v>1279</v>
      </c>
      <c r="L38" s="6">
        <v>1433</v>
      </c>
      <c r="M38" s="6">
        <v>1409</v>
      </c>
      <c r="N38" s="6">
        <v>1256</v>
      </c>
      <c r="O38" s="6">
        <v>1288</v>
      </c>
      <c r="P38" s="6">
        <v>1253</v>
      </c>
      <c r="Q38" s="6">
        <v>1248</v>
      </c>
      <c r="R38" s="6">
        <v>1176</v>
      </c>
      <c r="S38" s="6">
        <v>904</v>
      </c>
      <c r="T38" s="6">
        <v>791</v>
      </c>
      <c r="U38" s="6">
        <v>638</v>
      </c>
      <c r="V38" s="6">
        <v>497</v>
      </c>
      <c r="W38" s="6">
        <v>301</v>
      </c>
      <c r="X38" s="6">
        <v>251</v>
      </c>
      <c r="Y38" s="6">
        <v>174</v>
      </c>
      <c r="Z38" s="6">
        <v>127</v>
      </c>
      <c r="AA38" s="6">
        <v>66</v>
      </c>
      <c r="AB38" s="6">
        <v>38</v>
      </c>
      <c r="AC38" s="6">
        <v>15</v>
      </c>
      <c r="AD38" s="6">
        <v>3</v>
      </c>
      <c r="AE38" s="6">
        <v>15113</v>
      </c>
    </row>
    <row r="39" spans="1:31" x14ac:dyDescent="0.35">
      <c r="A39" s="4" t="s">
        <v>30</v>
      </c>
      <c r="B39" s="4" t="s">
        <v>31</v>
      </c>
      <c r="C39" s="4" t="s">
        <v>70</v>
      </c>
      <c r="D39" s="5">
        <v>170166</v>
      </c>
      <c r="E39" s="5" t="str">
        <f>VLOOKUP(C39,'[1]tasa de crec'!$C$13:$D$78,2,0)</f>
        <v>RURAL</v>
      </c>
      <c r="F39" s="6">
        <v>1007</v>
      </c>
      <c r="G39" s="6">
        <v>952</v>
      </c>
      <c r="H39" s="6">
        <v>1959</v>
      </c>
      <c r="I39" s="6">
        <v>36</v>
      </c>
      <c r="J39" s="6">
        <v>124</v>
      </c>
      <c r="K39" s="6">
        <v>150</v>
      </c>
      <c r="L39" s="6">
        <v>150</v>
      </c>
      <c r="M39" s="6">
        <v>178</v>
      </c>
      <c r="N39" s="6">
        <v>154</v>
      </c>
      <c r="O39" s="6">
        <v>186</v>
      </c>
      <c r="P39" s="6">
        <v>130</v>
      </c>
      <c r="Q39" s="6">
        <v>115</v>
      </c>
      <c r="R39" s="6">
        <v>116</v>
      </c>
      <c r="S39" s="6">
        <v>98</v>
      </c>
      <c r="T39" s="6">
        <v>117</v>
      </c>
      <c r="U39" s="6">
        <v>90</v>
      </c>
      <c r="V39" s="6">
        <v>85</v>
      </c>
      <c r="W39" s="6">
        <v>77</v>
      </c>
      <c r="X39" s="6">
        <v>48</v>
      </c>
      <c r="Y39" s="6">
        <v>35</v>
      </c>
      <c r="Z39" s="6">
        <v>27</v>
      </c>
      <c r="AA39" s="6">
        <v>26</v>
      </c>
      <c r="AB39" s="6">
        <v>14</v>
      </c>
      <c r="AC39" s="6">
        <v>3</v>
      </c>
      <c r="AD39" s="6" t="s">
        <v>35</v>
      </c>
      <c r="AE39" s="6">
        <v>1959</v>
      </c>
    </row>
    <row r="40" spans="1:31" x14ac:dyDescent="0.35">
      <c r="A40" s="4" t="s">
        <v>30</v>
      </c>
      <c r="B40" s="4" t="s">
        <v>31</v>
      </c>
      <c r="C40" s="4" t="s">
        <v>71</v>
      </c>
      <c r="D40" s="5">
        <v>170123</v>
      </c>
      <c r="E40" s="5" t="str">
        <f>VLOOKUP(C40,'[1]tasa de crec'!$C$13:$D$78,2,0)</f>
        <v>CENTRO</v>
      </c>
      <c r="F40" s="7">
        <v>7083</v>
      </c>
      <c r="G40" s="7">
        <v>7989</v>
      </c>
      <c r="H40" s="7">
        <v>15072</v>
      </c>
      <c r="I40" s="7">
        <v>97</v>
      </c>
      <c r="J40" s="7">
        <v>391</v>
      </c>
      <c r="K40" s="7">
        <v>604</v>
      </c>
      <c r="L40" s="7">
        <v>583</v>
      </c>
      <c r="M40" s="7">
        <v>708</v>
      </c>
      <c r="N40" s="7">
        <v>1214</v>
      </c>
      <c r="O40" s="7">
        <v>1361</v>
      </c>
      <c r="P40" s="7">
        <v>1736</v>
      </c>
      <c r="Q40" s="7">
        <v>1445</v>
      </c>
      <c r="R40" s="7">
        <v>1088</v>
      </c>
      <c r="S40" s="7">
        <v>935</v>
      </c>
      <c r="T40" s="7">
        <v>871</v>
      </c>
      <c r="U40" s="7">
        <v>848</v>
      </c>
      <c r="V40" s="7">
        <v>799</v>
      </c>
      <c r="W40" s="7">
        <v>757</v>
      </c>
      <c r="X40" s="7">
        <v>579</v>
      </c>
      <c r="Y40" s="7">
        <v>418</v>
      </c>
      <c r="Z40" s="7">
        <v>299</v>
      </c>
      <c r="AA40" s="7">
        <v>184</v>
      </c>
      <c r="AB40" s="7">
        <v>101</v>
      </c>
      <c r="AC40" s="7">
        <v>37</v>
      </c>
      <c r="AD40" s="7">
        <v>17</v>
      </c>
      <c r="AE40" s="7">
        <v>15072</v>
      </c>
    </row>
    <row r="41" spans="1:31" x14ac:dyDescent="0.35">
      <c r="A41" s="4" t="s">
        <v>30</v>
      </c>
      <c r="B41" s="4" t="s">
        <v>31</v>
      </c>
      <c r="C41" s="4" t="s">
        <v>72</v>
      </c>
      <c r="D41" s="5">
        <v>170168</v>
      </c>
      <c r="E41" s="5" t="str">
        <f>VLOOKUP(C41,'[1]tasa de crec'!$C$13:$D$78,2,0)</f>
        <v>RURAL</v>
      </c>
      <c r="F41" s="6">
        <v>1524</v>
      </c>
      <c r="G41" s="6">
        <v>1435</v>
      </c>
      <c r="H41" s="6">
        <v>2959</v>
      </c>
      <c r="I41" s="6">
        <v>40</v>
      </c>
      <c r="J41" s="6">
        <v>171</v>
      </c>
      <c r="K41" s="6">
        <v>232</v>
      </c>
      <c r="L41" s="6">
        <v>245</v>
      </c>
      <c r="M41" s="6">
        <v>252</v>
      </c>
      <c r="N41" s="6">
        <v>227</v>
      </c>
      <c r="O41" s="6">
        <v>195</v>
      </c>
      <c r="P41" s="6">
        <v>232</v>
      </c>
      <c r="Q41" s="6">
        <v>219</v>
      </c>
      <c r="R41" s="6">
        <v>144</v>
      </c>
      <c r="S41" s="6">
        <v>131</v>
      </c>
      <c r="T41" s="6">
        <v>160</v>
      </c>
      <c r="U41" s="6">
        <v>135</v>
      </c>
      <c r="V41" s="6">
        <v>119</v>
      </c>
      <c r="W41" s="6">
        <v>134</v>
      </c>
      <c r="X41" s="6">
        <v>96</v>
      </c>
      <c r="Y41" s="6">
        <v>99</v>
      </c>
      <c r="Z41" s="6">
        <v>51</v>
      </c>
      <c r="AA41" s="6">
        <v>47</v>
      </c>
      <c r="AB41" s="6">
        <v>24</v>
      </c>
      <c r="AC41" s="6">
        <v>5</v>
      </c>
      <c r="AD41" s="6">
        <v>1</v>
      </c>
      <c r="AE41" s="6">
        <v>2959</v>
      </c>
    </row>
    <row r="42" spans="1:31" x14ac:dyDescent="0.35">
      <c r="A42" s="4" t="s">
        <v>30</v>
      </c>
      <c r="B42" s="4" t="s">
        <v>31</v>
      </c>
      <c r="C42" s="4" t="s">
        <v>73</v>
      </c>
      <c r="D42" s="5">
        <v>170169</v>
      </c>
      <c r="E42" s="5" t="str">
        <f>VLOOKUP(C42,'[1]tasa de crec'!$C$13:$D$78,2,0)</f>
        <v>RURAL</v>
      </c>
      <c r="F42" s="6">
        <v>1362</v>
      </c>
      <c r="G42" s="6">
        <v>1414</v>
      </c>
      <c r="H42" s="6">
        <v>2776</v>
      </c>
      <c r="I42" s="6">
        <v>40</v>
      </c>
      <c r="J42" s="6">
        <v>150</v>
      </c>
      <c r="K42" s="6">
        <v>238</v>
      </c>
      <c r="L42" s="6">
        <v>221</v>
      </c>
      <c r="M42" s="6">
        <v>255</v>
      </c>
      <c r="N42" s="6">
        <v>217</v>
      </c>
      <c r="O42" s="6">
        <v>265</v>
      </c>
      <c r="P42" s="6">
        <v>191</v>
      </c>
      <c r="Q42" s="6">
        <v>170</v>
      </c>
      <c r="R42" s="6">
        <v>162</v>
      </c>
      <c r="S42" s="6">
        <v>162</v>
      </c>
      <c r="T42" s="6">
        <v>160</v>
      </c>
      <c r="U42" s="6">
        <v>113</v>
      </c>
      <c r="V42" s="6">
        <v>98</v>
      </c>
      <c r="W42" s="6">
        <v>96</v>
      </c>
      <c r="X42" s="6">
        <v>76</v>
      </c>
      <c r="Y42" s="6">
        <v>74</v>
      </c>
      <c r="Z42" s="6">
        <v>44</v>
      </c>
      <c r="AA42" s="6">
        <v>24</v>
      </c>
      <c r="AB42" s="6">
        <v>15</v>
      </c>
      <c r="AC42" s="6">
        <v>1</v>
      </c>
      <c r="AD42" s="6">
        <v>4</v>
      </c>
      <c r="AE42" s="6">
        <v>2776</v>
      </c>
    </row>
    <row r="43" spans="1:31" ht="23" x14ac:dyDescent="0.35">
      <c r="A43" s="4" t="s">
        <v>30</v>
      </c>
      <c r="B43" s="4" t="s">
        <v>31</v>
      </c>
      <c r="C43" s="4" t="s">
        <v>74</v>
      </c>
      <c r="D43" s="5">
        <v>170170</v>
      </c>
      <c r="E43" s="5" t="str">
        <f>VLOOKUP(C43,'[1]tasa de crec'!$C$13:$D$78,2,0)</f>
        <v>CENTRO NORTE</v>
      </c>
      <c r="F43" s="6">
        <v>10654</v>
      </c>
      <c r="G43" s="6">
        <v>11411</v>
      </c>
      <c r="H43" s="6">
        <v>22065</v>
      </c>
      <c r="I43" s="6">
        <v>210</v>
      </c>
      <c r="J43" s="6">
        <v>878</v>
      </c>
      <c r="K43" s="6">
        <v>1522</v>
      </c>
      <c r="L43" s="6">
        <v>1769</v>
      </c>
      <c r="M43" s="6">
        <v>1758</v>
      </c>
      <c r="N43" s="6">
        <v>1712</v>
      </c>
      <c r="O43" s="6">
        <v>1547</v>
      </c>
      <c r="P43" s="6">
        <v>1457</v>
      </c>
      <c r="Q43" s="6">
        <v>1630</v>
      </c>
      <c r="R43" s="6">
        <v>1652</v>
      </c>
      <c r="S43" s="6">
        <v>1571</v>
      </c>
      <c r="T43" s="6">
        <v>1456</v>
      </c>
      <c r="U43" s="6">
        <v>1346</v>
      </c>
      <c r="V43" s="6">
        <v>994</v>
      </c>
      <c r="W43" s="6">
        <v>897</v>
      </c>
      <c r="X43" s="6">
        <v>633</v>
      </c>
      <c r="Y43" s="6">
        <v>519</v>
      </c>
      <c r="Z43" s="6">
        <v>271</v>
      </c>
      <c r="AA43" s="6">
        <v>144</v>
      </c>
      <c r="AB43" s="6">
        <v>72</v>
      </c>
      <c r="AC43" s="6">
        <v>23</v>
      </c>
      <c r="AD43" s="6">
        <v>4</v>
      </c>
      <c r="AE43" s="6">
        <v>22065</v>
      </c>
    </row>
    <row r="44" spans="1:31" x14ac:dyDescent="0.35">
      <c r="A44" s="4" t="s">
        <v>30</v>
      </c>
      <c r="B44" s="4" t="s">
        <v>31</v>
      </c>
      <c r="C44" s="4" t="s">
        <v>75</v>
      </c>
      <c r="D44" s="5">
        <v>170171</v>
      </c>
      <c r="E44" s="5" t="str">
        <f>VLOOKUP(C44,'[1]tasa de crec'!$C$13:$D$78,2,0)</f>
        <v>RURAL</v>
      </c>
      <c r="F44" s="6">
        <v>1498</v>
      </c>
      <c r="G44" s="6">
        <v>1440</v>
      </c>
      <c r="H44" s="6">
        <v>2938</v>
      </c>
      <c r="I44" s="6">
        <v>28</v>
      </c>
      <c r="J44" s="6">
        <v>158</v>
      </c>
      <c r="K44" s="6">
        <v>265</v>
      </c>
      <c r="L44" s="6">
        <v>268</v>
      </c>
      <c r="M44" s="6">
        <v>298</v>
      </c>
      <c r="N44" s="6">
        <v>278</v>
      </c>
      <c r="O44" s="6">
        <v>184</v>
      </c>
      <c r="P44" s="6">
        <v>189</v>
      </c>
      <c r="Q44" s="6">
        <v>244</v>
      </c>
      <c r="R44" s="6">
        <v>203</v>
      </c>
      <c r="S44" s="6">
        <v>163</v>
      </c>
      <c r="T44" s="6">
        <v>140</v>
      </c>
      <c r="U44" s="6">
        <v>127</v>
      </c>
      <c r="V44" s="6">
        <v>88</v>
      </c>
      <c r="W44" s="6">
        <v>79</v>
      </c>
      <c r="X44" s="6">
        <v>72</v>
      </c>
      <c r="Y44" s="6">
        <v>51</v>
      </c>
      <c r="Z44" s="6">
        <v>37</v>
      </c>
      <c r="AA44" s="6">
        <v>32</v>
      </c>
      <c r="AB44" s="6">
        <v>28</v>
      </c>
      <c r="AC44" s="6">
        <v>5</v>
      </c>
      <c r="AD44" s="6">
        <v>1</v>
      </c>
      <c r="AE44" s="6">
        <v>2938</v>
      </c>
    </row>
    <row r="45" spans="1:31" x14ac:dyDescent="0.35">
      <c r="A45" s="4" t="s">
        <v>30</v>
      </c>
      <c r="B45" s="4" t="s">
        <v>31</v>
      </c>
      <c r="C45" s="4" t="s">
        <v>76</v>
      </c>
      <c r="D45" s="5">
        <v>170172</v>
      </c>
      <c r="E45" s="5" t="str">
        <f>VLOOKUP(C45,'[1]tasa de crec'!$C$13:$D$78,2,0)</f>
        <v>RURAL</v>
      </c>
      <c r="F45" s="6">
        <v>1964</v>
      </c>
      <c r="G45" s="6">
        <v>1934</v>
      </c>
      <c r="H45" s="6">
        <v>3898</v>
      </c>
      <c r="I45" s="6">
        <v>53</v>
      </c>
      <c r="J45" s="6">
        <v>238</v>
      </c>
      <c r="K45" s="6">
        <v>304</v>
      </c>
      <c r="L45" s="6">
        <v>371</v>
      </c>
      <c r="M45" s="6">
        <v>317</v>
      </c>
      <c r="N45" s="6">
        <v>260</v>
      </c>
      <c r="O45" s="6">
        <v>272</v>
      </c>
      <c r="P45" s="6">
        <v>269</v>
      </c>
      <c r="Q45" s="6">
        <v>255</v>
      </c>
      <c r="R45" s="6">
        <v>217</v>
      </c>
      <c r="S45" s="6">
        <v>216</v>
      </c>
      <c r="T45" s="6">
        <v>234</v>
      </c>
      <c r="U45" s="6">
        <v>203</v>
      </c>
      <c r="V45" s="6">
        <v>144</v>
      </c>
      <c r="W45" s="6">
        <v>149</v>
      </c>
      <c r="X45" s="6">
        <v>116</v>
      </c>
      <c r="Y45" s="6">
        <v>109</v>
      </c>
      <c r="Z45" s="6">
        <v>76</v>
      </c>
      <c r="AA45" s="6">
        <v>56</v>
      </c>
      <c r="AB45" s="6">
        <v>27</v>
      </c>
      <c r="AC45" s="6">
        <v>10</v>
      </c>
      <c r="AD45" s="6">
        <v>2</v>
      </c>
      <c r="AE45" s="6">
        <v>3898</v>
      </c>
    </row>
    <row r="46" spans="1:31" x14ac:dyDescent="0.35">
      <c r="A46" s="4" t="s">
        <v>30</v>
      </c>
      <c r="B46" s="4" t="s">
        <v>31</v>
      </c>
      <c r="C46" s="4" t="s">
        <v>77</v>
      </c>
      <c r="D46" s="5">
        <v>170174</v>
      </c>
      <c r="E46" s="5" t="str">
        <f>VLOOKUP(C46,'[1]tasa de crec'!$C$13:$D$78,2,0)</f>
        <v>RURAL</v>
      </c>
      <c r="F46" s="6">
        <v>338</v>
      </c>
      <c r="G46" s="6">
        <v>366</v>
      </c>
      <c r="H46" s="6">
        <v>704</v>
      </c>
      <c r="I46" s="6">
        <v>4</v>
      </c>
      <c r="J46" s="6">
        <v>34</v>
      </c>
      <c r="K46" s="6">
        <v>29</v>
      </c>
      <c r="L46" s="6">
        <v>53</v>
      </c>
      <c r="M46" s="6">
        <v>51</v>
      </c>
      <c r="N46" s="6">
        <v>53</v>
      </c>
      <c r="O46" s="6">
        <v>46</v>
      </c>
      <c r="P46" s="6">
        <v>44</v>
      </c>
      <c r="Q46" s="6">
        <v>35</v>
      </c>
      <c r="R46" s="6">
        <v>27</v>
      </c>
      <c r="S46" s="6">
        <v>39</v>
      </c>
      <c r="T46" s="6">
        <v>42</v>
      </c>
      <c r="U46" s="6">
        <v>37</v>
      </c>
      <c r="V46" s="6">
        <v>33</v>
      </c>
      <c r="W46" s="6">
        <v>58</v>
      </c>
      <c r="X46" s="6">
        <v>40</v>
      </c>
      <c r="Y46" s="6">
        <v>29</v>
      </c>
      <c r="Z46" s="6">
        <v>24</v>
      </c>
      <c r="AA46" s="6">
        <v>15</v>
      </c>
      <c r="AB46" s="6">
        <v>11</v>
      </c>
      <c r="AC46" s="6" t="s">
        <v>35</v>
      </c>
      <c r="AD46" s="6" t="s">
        <v>35</v>
      </c>
      <c r="AE46" s="6">
        <v>704</v>
      </c>
    </row>
    <row r="47" spans="1:31" x14ac:dyDescent="0.35">
      <c r="A47" s="4" t="s">
        <v>30</v>
      </c>
      <c r="B47" s="4" t="s">
        <v>31</v>
      </c>
      <c r="C47" s="4" t="s">
        <v>78</v>
      </c>
      <c r="D47" s="5">
        <v>170175</v>
      </c>
      <c r="E47" s="5" t="str">
        <f>VLOOKUP(C47,'[1]tasa de crec'!$C$13:$D$78,2,0)</f>
        <v>VALLES</v>
      </c>
      <c r="F47" s="6">
        <v>11263</v>
      </c>
      <c r="G47" s="6">
        <v>11939</v>
      </c>
      <c r="H47" s="6">
        <v>23202</v>
      </c>
      <c r="I47" s="6">
        <v>327</v>
      </c>
      <c r="J47" s="6">
        <v>1407</v>
      </c>
      <c r="K47" s="6">
        <v>2064</v>
      </c>
      <c r="L47" s="6">
        <v>2212</v>
      </c>
      <c r="M47" s="6">
        <v>2092</v>
      </c>
      <c r="N47" s="6">
        <v>2218</v>
      </c>
      <c r="O47" s="6">
        <v>2096</v>
      </c>
      <c r="P47" s="6">
        <v>1914</v>
      </c>
      <c r="Q47" s="6">
        <v>1770</v>
      </c>
      <c r="R47" s="6">
        <v>1609</v>
      </c>
      <c r="S47" s="6">
        <v>1284</v>
      </c>
      <c r="T47" s="6">
        <v>1093</v>
      </c>
      <c r="U47" s="6">
        <v>833</v>
      </c>
      <c r="V47" s="6">
        <v>716</v>
      </c>
      <c r="W47" s="6">
        <v>507</v>
      </c>
      <c r="X47" s="6">
        <v>342</v>
      </c>
      <c r="Y47" s="6">
        <v>298</v>
      </c>
      <c r="Z47" s="6">
        <v>208</v>
      </c>
      <c r="AA47" s="6">
        <v>123</v>
      </c>
      <c r="AB47" s="6">
        <v>66</v>
      </c>
      <c r="AC47" s="6">
        <v>19</v>
      </c>
      <c r="AD47" s="6">
        <v>4</v>
      </c>
      <c r="AE47" s="6">
        <v>23202</v>
      </c>
    </row>
    <row r="48" spans="1:31" x14ac:dyDescent="0.35">
      <c r="A48" s="4" t="s">
        <v>30</v>
      </c>
      <c r="B48" s="4" t="s">
        <v>31</v>
      </c>
      <c r="C48" s="4" t="s">
        <v>79</v>
      </c>
      <c r="D48" s="5">
        <v>170176</v>
      </c>
      <c r="E48" s="5" t="str">
        <f>VLOOKUP(C48,'[1]tasa de crec'!$C$13:$D$78,2,0)</f>
        <v>VALLE1</v>
      </c>
      <c r="F48" s="6">
        <v>11358</v>
      </c>
      <c r="G48" s="6">
        <v>11882</v>
      </c>
      <c r="H48" s="6">
        <v>23240</v>
      </c>
      <c r="I48" s="6">
        <v>302</v>
      </c>
      <c r="J48" s="6">
        <v>1372</v>
      </c>
      <c r="K48" s="6">
        <v>2010</v>
      </c>
      <c r="L48" s="6">
        <v>2181</v>
      </c>
      <c r="M48" s="6">
        <v>2188</v>
      </c>
      <c r="N48" s="6">
        <v>2094</v>
      </c>
      <c r="O48" s="6">
        <v>1893</v>
      </c>
      <c r="P48" s="6">
        <v>1759</v>
      </c>
      <c r="Q48" s="6">
        <v>1657</v>
      </c>
      <c r="R48" s="6">
        <v>1599</v>
      </c>
      <c r="S48" s="6">
        <v>1324</v>
      </c>
      <c r="T48" s="6">
        <v>1094</v>
      </c>
      <c r="U48" s="6">
        <v>1014</v>
      </c>
      <c r="V48" s="6">
        <v>782</v>
      </c>
      <c r="W48" s="6">
        <v>628</v>
      </c>
      <c r="X48" s="6">
        <v>452</v>
      </c>
      <c r="Y48" s="6">
        <v>378</v>
      </c>
      <c r="Z48" s="6">
        <v>292</v>
      </c>
      <c r="AA48" s="6">
        <v>141</v>
      </c>
      <c r="AB48" s="6">
        <v>62</v>
      </c>
      <c r="AC48" s="6">
        <v>16</v>
      </c>
      <c r="AD48" s="6">
        <v>2</v>
      </c>
      <c r="AE48" s="6">
        <v>23240</v>
      </c>
    </row>
    <row r="49" spans="1:31" x14ac:dyDescent="0.35">
      <c r="A49" s="4" t="s">
        <v>30</v>
      </c>
      <c r="B49" s="4" t="s">
        <v>31</v>
      </c>
      <c r="C49" s="4" t="s">
        <v>80</v>
      </c>
      <c r="D49" s="5">
        <v>170177</v>
      </c>
      <c r="E49" s="5" t="str">
        <f>VLOOKUP(C49,'[1]tasa de crec'!$C$13:$D$78,2,0)</f>
        <v>NORTE</v>
      </c>
      <c r="F49" s="6">
        <v>17671</v>
      </c>
      <c r="G49" s="6">
        <v>19212</v>
      </c>
      <c r="H49" s="6">
        <v>36883</v>
      </c>
      <c r="I49" s="6">
        <v>334</v>
      </c>
      <c r="J49" s="6">
        <v>1554</v>
      </c>
      <c r="K49" s="6">
        <v>2699</v>
      </c>
      <c r="L49" s="6">
        <v>3046</v>
      </c>
      <c r="M49" s="6">
        <v>3002</v>
      </c>
      <c r="N49" s="6">
        <v>2690</v>
      </c>
      <c r="O49" s="6">
        <v>2674</v>
      </c>
      <c r="P49" s="6">
        <v>2867</v>
      </c>
      <c r="Q49" s="6">
        <v>2977</v>
      </c>
      <c r="R49" s="6">
        <v>2963</v>
      </c>
      <c r="S49" s="6">
        <v>2465</v>
      </c>
      <c r="T49" s="6">
        <v>2040</v>
      </c>
      <c r="U49" s="6">
        <v>1897</v>
      </c>
      <c r="V49" s="6">
        <v>1660</v>
      </c>
      <c r="W49" s="6">
        <v>1514</v>
      </c>
      <c r="X49" s="6">
        <v>1043</v>
      </c>
      <c r="Y49" s="6">
        <v>679</v>
      </c>
      <c r="Z49" s="6">
        <v>393</v>
      </c>
      <c r="AA49" s="6">
        <v>243</v>
      </c>
      <c r="AB49" s="6">
        <v>105</v>
      </c>
      <c r="AC49" s="6">
        <v>34</v>
      </c>
      <c r="AD49" s="6">
        <v>4</v>
      </c>
      <c r="AE49" s="6">
        <v>36883</v>
      </c>
    </row>
    <row r="50" spans="1:31" x14ac:dyDescent="0.35">
      <c r="A50" s="4" t="s">
        <v>30</v>
      </c>
      <c r="B50" s="4" t="s">
        <v>31</v>
      </c>
      <c r="C50" s="4" t="s">
        <v>81</v>
      </c>
      <c r="D50" s="5">
        <v>170124</v>
      </c>
      <c r="E50" s="5" t="str">
        <f>VLOOKUP(C50,'[1]tasa de crec'!$C$13:$D$78,2,0)</f>
        <v>NORTE</v>
      </c>
      <c r="F50" s="7">
        <v>25870</v>
      </c>
      <c r="G50" s="7">
        <v>28608</v>
      </c>
      <c r="H50" s="7">
        <v>54478</v>
      </c>
      <c r="I50" s="7">
        <v>438</v>
      </c>
      <c r="J50" s="7">
        <v>2117</v>
      </c>
      <c r="K50" s="7">
        <v>3294</v>
      </c>
      <c r="L50" s="7">
        <v>3680</v>
      </c>
      <c r="M50" s="7">
        <v>3608</v>
      </c>
      <c r="N50" s="7">
        <v>4128</v>
      </c>
      <c r="O50" s="7">
        <v>4464</v>
      </c>
      <c r="P50" s="7">
        <v>4664</v>
      </c>
      <c r="Q50" s="7">
        <v>4430</v>
      </c>
      <c r="R50" s="7">
        <v>4228</v>
      </c>
      <c r="S50" s="7">
        <v>3545</v>
      </c>
      <c r="T50" s="7">
        <v>3284</v>
      </c>
      <c r="U50" s="7">
        <v>2992</v>
      </c>
      <c r="V50" s="7">
        <v>2722</v>
      </c>
      <c r="W50" s="7">
        <v>2364</v>
      </c>
      <c r="X50" s="7">
        <v>1739</v>
      </c>
      <c r="Y50" s="7">
        <v>1290</v>
      </c>
      <c r="Z50" s="7">
        <v>793</v>
      </c>
      <c r="AA50" s="7">
        <v>410</v>
      </c>
      <c r="AB50" s="7">
        <v>204</v>
      </c>
      <c r="AC50" s="7">
        <v>78</v>
      </c>
      <c r="AD50" s="7">
        <v>6</v>
      </c>
      <c r="AE50" s="7">
        <v>54478</v>
      </c>
    </row>
    <row r="51" spans="1:31" x14ac:dyDescent="0.35">
      <c r="A51" s="4" t="s">
        <v>30</v>
      </c>
      <c r="B51" s="4" t="s">
        <v>31</v>
      </c>
      <c r="C51" s="4" t="s">
        <v>82</v>
      </c>
      <c r="D51" s="5">
        <v>170178</v>
      </c>
      <c r="E51" s="5" t="str">
        <f>VLOOKUP(C51,'[1]tasa de crec'!$C$13:$D$78,2,0)</f>
        <v>RURAL</v>
      </c>
      <c r="F51" s="6">
        <v>2550</v>
      </c>
      <c r="G51" s="6">
        <v>2605</v>
      </c>
      <c r="H51" s="6">
        <v>5155</v>
      </c>
      <c r="I51" s="6">
        <v>79</v>
      </c>
      <c r="J51" s="6">
        <v>261</v>
      </c>
      <c r="K51" s="6">
        <v>359</v>
      </c>
      <c r="L51" s="6">
        <v>396</v>
      </c>
      <c r="M51" s="6">
        <v>386</v>
      </c>
      <c r="N51" s="6">
        <v>425</v>
      </c>
      <c r="O51" s="6">
        <v>358</v>
      </c>
      <c r="P51" s="6">
        <v>316</v>
      </c>
      <c r="Q51" s="6">
        <v>351</v>
      </c>
      <c r="R51" s="6">
        <v>306</v>
      </c>
      <c r="S51" s="6">
        <v>291</v>
      </c>
      <c r="T51" s="6">
        <v>292</v>
      </c>
      <c r="U51" s="6">
        <v>273</v>
      </c>
      <c r="V51" s="6">
        <v>244</v>
      </c>
      <c r="W51" s="6">
        <v>223</v>
      </c>
      <c r="X51" s="6">
        <v>201</v>
      </c>
      <c r="Y51" s="6">
        <v>167</v>
      </c>
      <c r="Z51" s="6">
        <v>125</v>
      </c>
      <c r="AA51" s="6">
        <v>57</v>
      </c>
      <c r="AB51" s="6">
        <v>32</v>
      </c>
      <c r="AC51" s="6">
        <v>11</v>
      </c>
      <c r="AD51" s="6">
        <v>2</v>
      </c>
      <c r="AE51" s="6">
        <v>5155</v>
      </c>
    </row>
    <row r="52" spans="1:31" x14ac:dyDescent="0.35">
      <c r="A52" s="4" t="s">
        <v>30</v>
      </c>
      <c r="B52" s="4" t="s">
        <v>31</v>
      </c>
      <c r="C52" s="4" t="s">
        <v>83</v>
      </c>
      <c r="D52" s="5">
        <v>170179</v>
      </c>
      <c r="E52" s="5" t="str">
        <f>VLOOKUP(C52,'[1]tasa de crec'!$C$13:$D$78,2,0)</f>
        <v>VALLES</v>
      </c>
      <c r="F52" s="6">
        <v>8775</v>
      </c>
      <c r="G52" s="6">
        <v>9005</v>
      </c>
      <c r="H52" s="6">
        <v>17780</v>
      </c>
      <c r="I52" s="6">
        <v>193</v>
      </c>
      <c r="J52" s="6">
        <v>850</v>
      </c>
      <c r="K52" s="6">
        <v>1448</v>
      </c>
      <c r="L52" s="6">
        <v>1560</v>
      </c>
      <c r="M52" s="6">
        <v>1594</v>
      </c>
      <c r="N52" s="6">
        <v>1596</v>
      </c>
      <c r="O52" s="6">
        <v>1364</v>
      </c>
      <c r="P52" s="6">
        <v>1319</v>
      </c>
      <c r="Q52" s="6">
        <v>1359</v>
      </c>
      <c r="R52" s="6">
        <v>1336</v>
      </c>
      <c r="S52" s="6">
        <v>1168</v>
      </c>
      <c r="T52" s="6">
        <v>913</v>
      </c>
      <c r="U52" s="6">
        <v>776</v>
      </c>
      <c r="V52" s="6">
        <v>723</v>
      </c>
      <c r="W52" s="6">
        <v>546</v>
      </c>
      <c r="X52" s="6">
        <v>392</v>
      </c>
      <c r="Y52" s="6">
        <v>279</v>
      </c>
      <c r="Z52" s="6">
        <v>185</v>
      </c>
      <c r="AA52" s="6">
        <v>103</v>
      </c>
      <c r="AB52" s="6">
        <v>57</v>
      </c>
      <c r="AC52" s="6">
        <v>16</v>
      </c>
      <c r="AD52" s="6">
        <v>3</v>
      </c>
      <c r="AE52" s="6">
        <v>17780</v>
      </c>
    </row>
    <row r="53" spans="1:31" x14ac:dyDescent="0.35">
      <c r="A53" s="4" t="s">
        <v>30</v>
      </c>
      <c r="B53" s="4" t="s">
        <v>31</v>
      </c>
      <c r="C53" s="4" t="s">
        <v>84</v>
      </c>
      <c r="D53" s="5">
        <v>170125</v>
      </c>
      <c r="E53" s="5" t="str">
        <f>VLOOKUP(C53,'[1]tasa de crec'!$C$13:$D$78,2,0)</f>
        <v>CENTRO</v>
      </c>
      <c r="F53" s="7">
        <v>33312</v>
      </c>
      <c r="G53" s="7">
        <v>35461</v>
      </c>
      <c r="H53" s="7">
        <v>68773</v>
      </c>
      <c r="I53" s="7">
        <v>708</v>
      </c>
      <c r="J53" s="7">
        <v>3119</v>
      </c>
      <c r="K53" s="7">
        <v>4870</v>
      </c>
      <c r="L53" s="7">
        <v>5317</v>
      </c>
      <c r="M53" s="7">
        <v>5625</v>
      </c>
      <c r="N53" s="7">
        <v>6019</v>
      </c>
      <c r="O53" s="7">
        <v>5998</v>
      </c>
      <c r="P53" s="7">
        <v>5677</v>
      </c>
      <c r="Q53" s="7">
        <v>5333</v>
      </c>
      <c r="R53" s="7">
        <v>4892</v>
      </c>
      <c r="S53" s="7">
        <v>4232</v>
      </c>
      <c r="T53" s="7">
        <v>3816</v>
      </c>
      <c r="U53" s="7">
        <v>3480</v>
      </c>
      <c r="V53" s="7">
        <v>2969</v>
      </c>
      <c r="W53" s="7">
        <v>2415</v>
      </c>
      <c r="X53" s="7">
        <v>1852</v>
      </c>
      <c r="Y53" s="7">
        <v>1192</v>
      </c>
      <c r="Z53" s="7">
        <v>679</v>
      </c>
      <c r="AA53" s="7">
        <v>365</v>
      </c>
      <c r="AB53" s="7">
        <v>165</v>
      </c>
      <c r="AC53" s="7">
        <v>42</v>
      </c>
      <c r="AD53" s="7">
        <v>8</v>
      </c>
      <c r="AE53" s="7">
        <v>68773</v>
      </c>
    </row>
    <row r="54" spans="1:31" x14ac:dyDescent="0.35">
      <c r="A54" s="4" t="s">
        <v>30</v>
      </c>
      <c r="B54" s="4" t="s">
        <v>31</v>
      </c>
      <c r="C54" s="4" t="s">
        <v>85</v>
      </c>
      <c r="D54" s="5">
        <v>170126</v>
      </c>
      <c r="E54" s="5" t="str">
        <f>VLOOKUP(C54,'[1]tasa de crec'!$C$13:$D$78,2,0)</f>
        <v>SUR</v>
      </c>
      <c r="F54" s="7">
        <v>52994</v>
      </c>
      <c r="G54" s="7">
        <v>55995</v>
      </c>
      <c r="H54" s="7">
        <v>108989</v>
      </c>
      <c r="I54" s="7">
        <v>1268</v>
      </c>
      <c r="J54" s="7">
        <v>5877</v>
      </c>
      <c r="K54" s="7">
        <v>8820</v>
      </c>
      <c r="L54" s="7">
        <v>9650</v>
      </c>
      <c r="M54" s="7">
        <v>9847</v>
      </c>
      <c r="N54" s="7">
        <v>10017</v>
      </c>
      <c r="O54" s="7">
        <v>9762</v>
      </c>
      <c r="P54" s="7">
        <v>9253</v>
      </c>
      <c r="Q54" s="7">
        <v>8963</v>
      </c>
      <c r="R54" s="7">
        <v>8163</v>
      </c>
      <c r="S54" s="7">
        <v>6793</v>
      </c>
      <c r="T54" s="7">
        <v>5622</v>
      </c>
      <c r="U54" s="7">
        <v>4734</v>
      </c>
      <c r="V54" s="7">
        <v>3851</v>
      </c>
      <c r="W54" s="7">
        <v>2783</v>
      </c>
      <c r="X54" s="7">
        <v>1589</v>
      </c>
      <c r="Y54" s="7">
        <v>898</v>
      </c>
      <c r="Z54" s="7">
        <v>522</v>
      </c>
      <c r="AA54" s="7">
        <v>354</v>
      </c>
      <c r="AB54" s="7">
        <v>150</v>
      </c>
      <c r="AC54" s="7">
        <v>61</v>
      </c>
      <c r="AD54" s="7">
        <v>12</v>
      </c>
      <c r="AE54" s="7">
        <v>108989</v>
      </c>
    </row>
    <row r="55" spans="1:31" ht="23" x14ac:dyDescent="0.35">
      <c r="A55" s="4" t="s">
        <v>30</v>
      </c>
      <c r="B55" s="4" t="s">
        <v>31</v>
      </c>
      <c r="C55" s="4" t="s">
        <v>86</v>
      </c>
      <c r="D55" s="5">
        <v>170127</v>
      </c>
      <c r="E55" s="5" t="str">
        <f>VLOOKUP(C55,'[1]tasa de crec'!$C$13:$D$78,2,0)</f>
        <v>CENTRO NORTE</v>
      </c>
      <c r="F55" s="7">
        <v>15116</v>
      </c>
      <c r="G55" s="7">
        <v>17536</v>
      </c>
      <c r="H55" s="7">
        <v>32652</v>
      </c>
      <c r="I55" s="7">
        <v>210</v>
      </c>
      <c r="J55" s="7">
        <v>989</v>
      </c>
      <c r="K55" s="7">
        <v>1554</v>
      </c>
      <c r="L55" s="7">
        <v>1553</v>
      </c>
      <c r="M55" s="7">
        <v>1516</v>
      </c>
      <c r="N55" s="7">
        <v>1747</v>
      </c>
      <c r="O55" s="7">
        <v>2135</v>
      </c>
      <c r="P55" s="7">
        <v>2761</v>
      </c>
      <c r="Q55" s="7">
        <v>2982</v>
      </c>
      <c r="R55" s="7">
        <v>2667</v>
      </c>
      <c r="S55" s="7">
        <v>2172</v>
      </c>
      <c r="T55" s="7">
        <v>1998</v>
      </c>
      <c r="U55" s="7">
        <v>2026</v>
      </c>
      <c r="V55" s="7">
        <v>2112</v>
      </c>
      <c r="W55" s="7">
        <v>1865</v>
      </c>
      <c r="X55" s="7">
        <v>1570</v>
      </c>
      <c r="Y55" s="7">
        <v>1211</v>
      </c>
      <c r="Z55" s="7">
        <v>809</v>
      </c>
      <c r="AA55" s="7">
        <v>459</v>
      </c>
      <c r="AB55" s="7">
        <v>229</v>
      </c>
      <c r="AC55" s="7">
        <v>71</v>
      </c>
      <c r="AD55" s="7">
        <v>16</v>
      </c>
      <c r="AE55" s="7">
        <v>32652</v>
      </c>
    </row>
    <row r="56" spans="1:31" x14ac:dyDescent="0.35">
      <c r="A56" s="4" t="s">
        <v>30</v>
      </c>
      <c r="B56" s="4" t="s">
        <v>31</v>
      </c>
      <c r="C56" s="4" t="s">
        <v>87</v>
      </c>
      <c r="D56" s="5">
        <v>170180</v>
      </c>
      <c r="E56" s="5" t="str">
        <f>VLOOKUP(C56,'[1]tasa de crec'!$C$13:$D$78,2,0)</f>
        <v>NORTE</v>
      </c>
      <c r="F56" s="6">
        <v>24179</v>
      </c>
      <c r="G56" s="6">
        <v>25805</v>
      </c>
      <c r="H56" s="6">
        <v>49984</v>
      </c>
      <c r="I56" s="6">
        <v>503</v>
      </c>
      <c r="J56" s="6">
        <v>2617</v>
      </c>
      <c r="K56" s="6">
        <v>3950</v>
      </c>
      <c r="L56" s="6">
        <v>4531</v>
      </c>
      <c r="M56" s="6">
        <v>4559</v>
      </c>
      <c r="N56" s="6">
        <v>4203</v>
      </c>
      <c r="O56" s="6">
        <v>4006</v>
      </c>
      <c r="P56" s="6">
        <v>3865</v>
      </c>
      <c r="Q56" s="6">
        <v>4138</v>
      </c>
      <c r="R56" s="6">
        <v>3738</v>
      </c>
      <c r="S56" s="6">
        <v>3004</v>
      </c>
      <c r="T56" s="6">
        <v>2504</v>
      </c>
      <c r="U56" s="6">
        <v>2221</v>
      </c>
      <c r="V56" s="6">
        <v>1895</v>
      </c>
      <c r="W56" s="6">
        <v>1495</v>
      </c>
      <c r="X56" s="6">
        <v>1141</v>
      </c>
      <c r="Y56" s="6">
        <v>751</v>
      </c>
      <c r="Z56" s="6">
        <v>433</v>
      </c>
      <c r="AA56" s="6">
        <v>254</v>
      </c>
      <c r="AB56" s="6">
        <v>126</v>
      </c>
      <c r="AC56" s="6">
        <v>49</v>
      </c>
      <c r="AD56" s="6">
        <v>1</v>
      </c>
      <c r="AE56" s="6">
        <v>49984</v>
      </c>
    </row>
    <row r="57" spans="1:31" x14ac:dyDescent="0.35">
      <c r="A57" s="4" t="s">
        <v>30</v>
      </c>
      <c r="B57" s="4" t="s">
        <v>31</v>
      </c>
      <c r="C57" s="4" t="s">
        <v>88</v>
      </c>
      <c r="D57" s="5">
        <v>170128</v>
      </c>
      <c r="E57" s="5" t="str">
        <f>VLOOKUP(C57,'[1]tasa de crec'!$C$13:$D$78,2,0)</f>
        <v>SUR</v>
      </c>
      <c r="F57" s="7">
        <v>28064</v>
      </c>
      <c r="G57" s="7">
        <v>30651</v>
      </c>
      <c r="H57" s="7">
        <v>58715</v>
      </c>
      <c r="I57" s="7">
        <v>466</v>
      </c>
      <c r="J57" s="7">
        <v>2361</v>
      </c>
      <c r="K57" s="7">
        <v>3756</v>
      </c>
      <c r="L57" s="7">
        <v>4338</v>
      </c>
      <c r="M57" s="7">
        <v>4492</v>
      </c>
      <c r="N57" s="7">
        <v>4481</v>
      </c>
      <c r="O57" s="7">
        <v>4910</v>
      </c>
      <c r="P57" s="7">
        <v>4757</v>
      </c>
      <c r="Q57" s="7">
        <v>4356</v>
      </c>
      <c r="R57" s="7">
        <v>4007</v>
      </c>
      <c r="S57" s="7">
        <v>3379</v>
      </c>
      <c r="T57" s="7">
        <v>3709</v>
      </c>
      <c r="U57" s="7">
        <v>3529</v>
      </c>
      <c r="V57" s="7">
        <v>2979</v>
      </c>
      <c r="W57" s="7">
        <v>2138</v>
      </c>
      <c r="X57" s="7">
        <v>1625</v>
      </c>
      <c r="Y57" s="7">
        <v>1379</v>
      </c>
      <c r="Z57" s="7">
        <v>1069</v>
      </c>
      <c r="AA57" s="7">
        <v>605</v>
      </c>
      <c r="AB57" s="7">
        <v>306</v>
      </c>
      <c r="AC57" s="7">
        <v>62</v>
      </c>
      <c r="AD57" s="7">
        <v>11</v>
      </c>
      <c r="AE57" s="7">
        <v>58715</v>
      </c>
    </row>
    <row r="58" spans="1:31" ht="23" x14ac:dyDescent="0.35">
      <c r="A58" s="4" t="s">
        <v>30</v>
      </c>
      <c r="B58" s="4" t="s">
        <v>31</v>
      </c>
      <c r="C58" s="4" t="s">
        <v>89</v>
      </c>
      <c r="D58" s="5">
        <v>170129</v>
      </c>
      <c r="E58" s="5" t="str">
        <f>VLOOKUP(C58,'[1]tasa de crec'!$C$13:$D$78,2,0)</f>
        <v>CENTRO NORTE</v>
      </c>
      <c r="F58" s="7">
        <v>24009</v>
      </c>
      <c r="G58" s="7">
        <v>25564</v>
      </c>
      <c r="H58" s="7">
        <v>49573</v>
      </c>
      <c r="I58" s="7">
        <v>523</v>
      </c>
      <c r="J58" s="7">
        <v>2270</v>
      </c>
      <c r="K58" s="7">
        <v>3617</v>
      </c>
      <c r="L58" s="7">
        <v>3983</v>
      </c>
      <c r="M58" s="7">
        <v>3959</v>
      </c>
      <c r="N58" s="7">
        <v>4172</v>
      </c>
      <c r="O58" s="7">
        <v>4220</v>
      </c>
      <c r="P58" s="7">
        <v>4167</v>
      </c>
      <c r="Q58" s="7">
        <v>4083</v>
      </c>
      <c r="R58" s="7">
        <v>3887</v>
      </c>
      <c r="S58" s="7">
        <v>3183</v>
      </c>
      <c r="T58" s="7">
        <v>2905</v>
      </c>
      <c r="U58" s="7">
        <v>2443</v>
      </c>
      <c r="V58" s="7">
        <v>2004</v>
      </c>
      <c r="W58" s="7">
        <v>1642</v>
      </c>
      <c r="X58" s="7">
        <v>1058</v>
      </c>
      <c r="Y58" s="7">
        <v>703</v>
      </c>
      <c r="Z58" s="7">
        <v>415</v>
      </c>
      <c r="AA58" s="7">
        <v>224</v>
      </c>
      <c r="AB58" s="7">
        <v>76</v>
      </c>
      <c r="AC58" s="7">
        <v>37</v>
      </c>
      <c r="AD58" s="7">
        <v>2</v>
      </c>
      <c r="AE58" s="7">
        <v>49573</v>
      </c>
    </row>
    <row r="59" spans="1:31" x14ac:dyDescent="0.35">
      <c r="A59" s="4" t="s">
        <v>30</v>
      </c>
      <c r="B59" s="4" t="s">
        <v>31</v>
      </c>
      <c r="C59" s="4" t="s">
        <v>90</v>
      </c>
      <c r="D59" s="5">
        <v>170181</v>
      </c>
      <c r="E59" s="5" t="str">
        <f>VLOOKUP(C59,'[1]tasa de crec'!$C$13:$D$78,2,0)</f>
        <v>RURAL</v>
      </c>
      <c r="F59" s="6">
        <v>2817</v>
      </c>
      <c r="G59" s="6">
        <v>2772</v>
      </c>
      <c r="H59" s="6">
        <v>5589</v>
      </c>
      <c r="I59" s="6">
        <v>67</v>
      </c>
      <c r="J59" s="6">
        <v>258</v>
      </c>
      <c r="K59" s="6">
        <v>431</v>
      </c>
      <c r="L59" s="6">
        <v>492</v>
      </c>
      <c r="M59" s="6">
        <v>476</v>
      </c>
      <c r="N59" s="6">
        <v>423</v>
      </c>
      <c r="O59" s="6">
        <v>350</v>
      </c>
      <c r="P59" s="6">
        <v>299</v>
      </c>
      <c r="Q59" s="6">
        <v>366</v>
      </c>
      <c r="R59" s="6">
        <v>347</v>
      </c>
      <c r="S59" s="6">
        <v>294</v>
      </c>
      <c r="T59" s="6">
        <v>270</v>
      </c>
      <c r="U59" s="6">
        <v>283</v>
      </c>
      <c r="V59" s="6">
        <v>251</v>
      </c>
      <c r="W59" s="6">
        <v>280</v>
      </c>
      <c r="X59" s="6">
        <v>181</v>
      </c>
      <c r="Y59" s="6">
        <v>218</v>
      </c>
      <c r="Z59" s="6">
        <v>160</v>
      </c>
      <c r="AA59" s="6">
        <v>79</v>
      </c>
      <c r="AB59" s="6">
        <v>50</v>
      </c>
      <c r="AC59" s="6">
        <v>10</v>
      </c>
      <c r="AD59" s="6">
        <v>4</v>
      </c>
      <c r="AE59" s="6">
        <v>5589</v>
      </c>
    </row>
    <row r="60" spans="1:31" x14ac:dyDescent="0.35">
      <c r="A60" s="4" t="s">
        <v>30</v>
      </c>
      <c r="B60" s="4" t="s">
        <v>31</v>
      </c>
      <c r="C60" s="4" t="s">
        <v>91</v>
      </c>
      <c r="D60" s="5">
        <v>170130</v>
      </c>
      <c r="E60" s="5" t="str">
        <f>VLOOKUP(C60,'[1]tasa de crec'!$C$13:$D$78,2,0)</f>
        <v>CENTRO</v>
      </c>
      <c r="F60" s="7">
        <v>22965</v>
      </c>
      <c r="G60" s="7">
        <v>24714</v>
      </c>
      <c r="H60" s="7">
        <v>47679</v>
      </c>
      <c r="I60" s="7">
        <v>440</v>
      </c>
      <c r="J60" s="7">
        <v>2143</v>
      </c>
      <c r="K60" s="7">
        <v>3204</v>
      </c>
      <c r="L60" s="7">
        <v>3816</v>
      </c>
      <c r="M60" s="7">
        <v>3972</v>
      </c>
      <c r="N60" s="7">
        <v>4121</v>
      </c>
      <c r="O60" s="7">
        <v>3882</v>
      </c>
      <c r="P60" s="7">
        <v>3675</v>
      </c>
      <c r="Q60" s="7">
        <v>3494</v>
      </c>
      <c r="R60" s="7">
        <v>3204</v>
      </c>
      <c r="S60" s="7">
        <v>2883</v>
      </c>
      <c r="T60" s="7">
        <v>2798</v>
      </c>
      <c r="U60" s="7">
        <v>2434</v>
      </c>
      <c r="V60" s="7">
        <v>2165</v>
      </c>
      <c r="W60" s="7">
        <v>1723</v>
      </c>
      <c r="X60" s="7">
        <v>1304</v>
      </c>
      <c r="Y60" s="7">
        <v>1016</v>
      </c>
      <c r="Z60" s="7">
        <v>707</v>
      </c>
      <c r="AA60" s="7">
        <v>400</v>
      </c>
      <c r="AB60" s="7">
        <v>220</v>
      </c>
      <c r="AC60" s="7">
        <v>63</v>
      </c>
      <c r="AD60" s="7">
        <v>15</v>
      </c>
      <c r="AE60" s="7">
        <v>47679</v>
      </c>
    </row>
    <row r="61" spans="1:31" x14ac:dyDescent="0.35">
      <c r="A61" s="4" t="s">
        <v>30</v>
      </c>
      <c r="B61" s="4" t="s">
        <v>31</v>
      </c>
      <c r="C61" s="4" t="s">
        <v>92</v>
      </c>
      <c r="D61" s="5">
        <v>170131</v>
      </c>
      <c r="E61" s="5" t="str">
        <f>VLOOKUP(C61,'[1]tasa de crec'!$C$13:$D$78,2,0)</f>
        <v>SUR</v>
      </c>
      <c r="F61" s="7">
        <v>34965</v>
      </c>
      <c r="G61" s="7">
        <v>37524</v>
      </c>
      <c r="H61" s="7">
        <v>72489</v>
      </c>
      <c r="I61" s="7">
        <v>628</v>
      </c>
      <c r="J61" s="7">
        <v>3177</v>
      </c>
      <c r="K61" s="7">
        <v>5208</v>
      </c>
      <c r="L61" s="7">
        <v>5875</v>
      </c>
      <c r="M61" s="7">
        <v>5798</v>
      </c>
      <c r="N61" s="7">
        <v>5969</v>
      </c>
      <c r="O61" s="7">
        <v>5927</v>
      </c>
      <c r="P61" s="7">
        <v>5781</v>
      </c>
      <c r="Q61" s="7">
        <v>5825</v>
      </c>
      <c r="R61" s="7">
        <v>5294</v>
      </c>
      <c r="S61" s="7">
        <v>4274</v>
      </c>
      <c r="T61" s="7">
        <v>3654</v>
      </c>
      <c r="U61" s="7">
        <v>3267</v>
      </c>
      <c r="V61" s="7">
        <v>3393</v>
      </c>
      <c r="W61" s="7">
        <v>3314</v>
      </c>
      <c r="X61" s="7">
        <v>2246</v>
      </c>
      <c r="Y61" s="7">
        <v>1391</v>
      </c>
      <c r="Z61" s="7">
        <v>800</v>
      </c>
      <c r="AA61" s="7">
        <v>417</v>
      </c>
      <c r="AB61" s="7">
        <v>193</v>
      </c>
      <c r="AC61" s="7">
        <v>49</v>
      </c>
      <c r="AD61" s="7">
        <v>9</v>
      </c>
      <c r="AE61" s="7">
        <v>72489</v>
      </c>
    </row>
    <row r="62" spans="1:31" x14ac:dyDescent="0.35">
      <c r="A62" s="4" t="s">
        <v>30</v>
      </c>
      <c r="B62" s="4" t="s">
        <v>31</v>
      </c>
      <c r="C62" s="4" t="s">
        <v>93</v>
      </c>
      <c r="D62" s="5">
        <v>170183</v>
      </c>
      <c r="E62" s="5" t="str">
        <f>VLOOKUP(C62,'[1]tasa de crec'!$C$13:$D$78,2,0)</f>
        <v>VALLES</v>
      </c>
      <c r="F62" s="6">
        <v>1849</v>
      </c>
      <c r="G62" s="6">
        <v>2002</v>
      </c>
      <c r="H62" s="6">
        <v>3851</v>
      </c>
      <c r="I62" s="6">
        <v>36</v>
      </c>
      <c r="J62" s="6">
        <v>174</v>
      </c>
      <c r="K62" s="6">
        <v>297</v>
      </c>
      <c r="L62" s="6">
        <v>320</v>
      </c>
      <c r="M62" s="6">
        <v>317</v>
      </c>
      <c r="N62" s="6">
        <v>373</v>
      </c>
      <c r="O62" s="6">
        <v>315</v>
      </c>
      <c r="P62" s="6">
        <v>275</v>
      </c>
      <c r="Q62" s="6">
        <v>338</v>
      </c>
      <c r="R62" s="6">
        <v>244</v>
      </c>
      <c r="S62" s="6">
        <v>261</v>
      </c>
      <c r="T62" s="6">
        <v>189</v>
      </c>
      <c r="U62" s="6">
        <v>172</v>
      </c>
      <c r="V62" s="6">
        <v>133</v>
      </c>
      <c r="W62" s="6">
        <v>142</v>
      </c>
      <c r="X62" s="6">
        <v>95</v>
      </c>
      <c r="Y62" s="6">
        <v>66</v>
      </c>
      <c r="Z62" s="6">
        <v>61</v>
      </c>
      <c r="AA62" s="6">
        <v>20</v>
      </c>
      <c r="AB62" s="6">
        <v>15</v>
      </c>
      <c r="AC62" s="6">
        <v>7</v>
      </c>
      <c r="AD62" s="6">
        <v>1</v>
      </c>
      <c r="AE62" s="6">
        <v>3851</v>
      </c>
    </row>
    <row r="63" spans="1:31" x14ac:dyDescent="0.35">
      <c r="A63" s="4" t="s">
        <v>30</v>
      </c>
      <c r="B63" s="4" t="s">
        <v>31</v>
      </c>
      <c r="C63" s="4" t="s">
        <v>94</v>
      </c>
      <c r="D63" s="5">
        <v>170184</v>
      </c>
      <c r="E63" s="5" t="str">
        <f>VLOOKUP(C63,'[1]tasa de crec'!$C$13:$D$78,2,0)</f>
        <v>VALLES</v>
      </c>
      <c r="F63" s="6">
        <v>38194</v>
      </c>
      <c r="G63" s="6">
        <v>40915</v>
      </c>
      <c r="H63" s="6">
        <v>79109</v>
      </c>
      <c r="I63" s="6">
        <v>807</v>
      </c>
      <c r="J63" s="6">
        <v>4068</v>
      </c>
      <c r="K63" s="6">
        <v>6237</v>
      </c>
      <c r="L63" s="6">
        <v>6488</v>
      </c>
      <c r="M63" s="6">
        <v>6550</v>
      </c>
      <c r="N63" s="6">
        <v>6399</v>
      </c>
      <c r="O63" s="6">
        <v>6135</v>
      </c>
      <c r="P63" s="6">
        <v>6256</v>
      </c>
      <c r="Q63" s="6">
        <v>6611</v>
      </c>
      <c r="R63" s="6">
        <v>6249</v>
      </c>
      <c r="S63" s="6">
        <v>5412</v>
      </c>
      <c r="T63" s="6">
        <v>4332</v>
      </c>
      <c r="U63" s="6">
        <v>3525</v>
      </c>
      <c r="V63" s="6">
        <v>2907</v>
      </c>
      <c r="W63" s="6">
        <v>2379</v>
      </c>
      <c r="X63" s="6">
        <v>1799</v>
      </c>
      <c r="Y63" s="6">
        <v>1324</v>
      </c>
      <c r="Z63" s="6">
        <v>780</v>
      </c>
      <c r="AA63" s="6">
        <v>517</v>
      </c>
      <c r="AB63" s="6">
        <v>249</v>
      </c>
      <c r="AC63" s="6">
        <v>71</v>
      </c>
      <c r="AD63" s="6">
        <v>14</v>
      </c>
      <c r="AE63" s="6">
        <v>79109</v>
      </c>
    </row>
    <row r="64" spans="1:31" x14ac:dyDescent="0.35">
      <c r="A64" s="4" t="s">
        <v>30</v>
      </c>
      <c r="B64" s="4" t="s">
        <v>31</v>
      </c>
      <c r="C64" s="4" t="s">
        <v>95</v>
      </c>
      <c r="D64" s="5">
        <v>170132</v>
      </c>
      <c r="E64" s="5" t="str">
        <f>VLOOKUP(C64,'[1]tasa de crec'!$C$13:$D$78,2,0)</f>
        <v>SUR</v>
      </c>
      <c r="F64" s="7">
        <v>44956</v>
      </c>
      <c r="G64" s="7">
        <v>48049</v>
      </c>
      <c r="H64" s="7">
        <v>93005</v>
      </c>
      <c r="I64" s="7">
        <v>1197</v>
      </c>
      <c r="J64" s="7">
        <v>5395</v>
      </c>
      <c r="K64" s="7">
        <v>8259</v>
      </c>
      <c r="L64" s="7">
        <v>8891</v>
      </c>
      <c r="M64" s="7">
        <v>9058</v>
      </c>
      <c r="N64" s="7">
        <v>8677</v>
      </c>
      <c r="O64" s="7">
        <v>8122</v>
      </c>
      <c r="P64" s="7">
        <v>7807</v>
      </c>
      <c r="Q64" s="7">
        <v>7622</v>
      </c>
      <c r="R64" s="7">
        <v>6811</v>
      </c>
      <c r="S64" s="7">
        <v>5532</v>
      </c>
      <c r="T64" s="7">
        <v>4643</v>
      </c>
      <c r="U64" s="7">
        <v>3617</v>
      </c>
      <c r="V64" s="7">
        <v>2719</v>
      </c>
      <c r="W64" s="7">
        <v>1899</v>
      </c>
      <c r="X64" s="7">
        <v>1157</v>
      </c>
      <c r="Y64" s="7">
        <v>739</v>
      </c>
      <c r="Z64" s="7">
        <v>447</v>
      </c>
      <c r="AA64" s="7">
        <v>263</v>
      </c>
      <c r="AB64" s="7">
        <v>117</v>
      </c>
      <c r="AC64" s="7">
        <v>30</v>
      </c>
      <c r="AD64" s="7">
        <v>3</v>
      </c>
      <c r="AE64" s="7">
        <v>93005</v>
      </c>
    </row>
    <row r="65" spans="1:31" x14ac:dyDescent="0.35">
      <c r="A65" s="4" t="s">
        <v>30</v>
      </c>
      <c r="B65" s="4" t="s">
        <v>31</v>
      </c>
      <c r="C65" s="4" t="s">
        <v>96</v>
      </c>
      <c r="D65" s="5">
        <v>170185</v>
      </c>
      <c r="E65" s="5" t="str">
        <f>VLOOKUP(C65,'[1]tasa de crec'!$C$13:$D$78,2,0)</f>
        <v>VALLES</v>
      </c>
      <c r="F65" s="6">
        <v>12985</v>
      </c>
      <c r="G65" s="6">
        <v>13579</v>
      </c>
      <c r="H65" s="6">
        <v>26564</v>
      </c>
      <c r="I65" s="6">
        <v>354</v>
      </c>
      <c r="J65" s="6">
        <v>1526</v>
      </c>
      <c r="K65" s="6">
        <v>2229</v>
      </c>
      <c r="L65" s="6">
        <v>2418</v>
      </c>
      <c r="M65" s="6">
        <v>2483</v>
      </c>
      <c r="N65" s="6">
        <v>2438</v>
      </c>
      <c r="O65" s="6">
        <v>2346</v>
      </c>
      <c r="P65" s="6">
        <v>2088</v>
      </c>
      <c r="Q65" s="6">
        <v>2009</v>
      </c>
      <c r="R65" s="6">
        <v>1854</v>
      </c>
      <c r="S65" s="6">
        <v>1561</v>
      </c>
      <c r="T65" s="6">
        <v>1366</v>
      </c>
      <c r="U65" s="6">
        <v>1064</v>
      </c>
      <c r="V65" s="6">
        <v>832</v>
      </c>
      <c r="W65" s="6">
        <v>615</v>
      </c>
      <c r="X65" s="6">
        <v>462</v>
      </c>
      <c r="Y65" s="6">
        <v>349</v>
      </c>
      <c r="Z65" s="6">
        <v>277</v>
      </c>
      <c r="AA65" s="6">
        <v>171</v>
      </c>
      <c r="AB65" s="6">
        <v>94</v>
      </c>
      <c r="AC65" s="6">
        <v>26</v>
      </c>
      <c r="AD65" s="6">
        <v>2</v>
      </c>
      <c r="AE65" s="6">
        <v>26564</v>
      </c>
    </row>
    <row r="66" spans="1:31" x14ac:dyDescent="0.35">
      <c r="A66" s="4" t="s">
        <v>30</v>
      </c>
      <c r="B66" s="8" t="s">
        <v>31</v>
      </c>
      <c r="C66" s="8" t="s">
        <v>97</v>
      </c>
      <c r="D66" s="9">
        <v>170186</v>
      </c>
      <c r="E66" s="5" t="str">
        <f>VLOOKUP(C66,'[1]tasa de crec'!$C$13:$D$78,2,0)</f>
        <v>RURAL</v>
      </c>
      <c r="F66" s="6">
        <v>3034</v>
      </c>
      <c r="G66" s="6">
        <v>3126</v>
      </c>
      <c r="H66" s="6">
        <v>6160</v>
      </c>
      <c r="I66" s="6">
        <v>64</v>
      </c>
      <c r="J66" s="6">
        <v>327</v>
      </c>
      <c r="K66" s="6">
        <v>468</v>
      </c>
      <c r="L66" s="6">
        <v>540</v>
      </c>
      <c r="M66" s="6">
        <v>519</v>
      </c>
      <c r="N66" s="6">
        <v>559</v>
      </c>
      <c r="O66" s="6">
        <v>508</v>
      </c>
      <c r="P66" s="6">
        <v>423</v>
      </c>
      <c r="Q66" s="6">
        <v>479</v>
      </c>
      <c r="R66" s="6">
        <v>445</v>
      </c>
      <c r="S66" s="6">
        <v>382</v>
      </c>
      <c r="T66" s="6">
        <v>362</v>
      </c>
      <c r="U66" s="6">
        <v>310</v>
      </c>
      <c r="V66" s="6">
        <v>241</v>
      </c>
      <c r="W66" s="6">
        <v>185</v>
      </c>
      <c r="X66" s="6">
        <v>122</v>
      </c>
      <c r="Y66" s="6">
        <v>97</v>
      </c>
      <c r="Z66" s="6">
        <v>70</v>
      </c>
      <c r="AA66" s="6">
        <v>35</v>
      </c>
      <c r="AB66" s="6">
        <v>17</v>
      </c>
      <c r="AC66" s="6">
        <v>5</v>
      </c>
      <c r="AD66" s="6">
        <v>2</v>
      </c>
      <c r="AE66" s="6">
        <v>6160</v>
      </c>
    </row>
    <row r="67" spans="1:31" x14ac:dyDescent="0.35">
      <c r="A67" s="10" t="s">
        <v>98</v>
      </c>
      <c r="B67" s="11"/>
      <c r="C67" s="11"/>
      <c r="D67" s="12"/>
      <c r="E67" s="13"/>
      <c r="F67" s="14">
        <v>1291774</v>
      </c>
      <c r="G67" s="14">
        <v>1387948</v>
      </c>
      <c r="H67" s="14">
        <v>2679722</v>
      </c>
      <c r="I67" s="14">
        <v>27640</v>
      </c>
      <c r="J67" s="14">
        <v>127966</v>
      </c>
      <c r="K67" s="14">
        <v>195613</v>
      </c>
      <c r="L67" s="14">
        <v>218312</v>
      </c>
      <c r="M67" s="14">
        <v>220364</v>
      </c>
      <c r="N67" s="14">
        <v>225396</v>
      </c>
      <c r="O67" s="14">
        <v>223108</v>
      </c>
      <c r="P67" s="14">
        <v>217349</v>
      </c>
      <c r="Q67" s="14">
        <v>213803</v>
      </c>
      <c r="R67" s="14">
        <v>196437</v>
      </c>
      <c r="S67" s="14">
        <v>165334</v>
      </c>
      <c r="T67" s="14">
        <v>146375</v>
      </c>
      <c r="U67" s="14">
        <v>128891</v>
      </c>
      <c r="V67" s="14">
        <v>111104</v>
      </c>
      <c r="W67" s="14">
        <v>89935</v>
      </c>
      <c r="X67" s="14">
        <v>65805</v>
      </c>
      <c r="Y67" s="14">
        <v>46342</v>
      </c>
      <c r="Z67" s="14">
        <v>30462</v>
      </c>
      <c r="AA67" s="14">
        <v>17486</v>
      </c>
      <c r="AB67" s="14">
        <v>8892</v>
      </c>
      <c r="AC67" s="14">
        <v>2652</v>
      </c>
      <c r="AD67" s="14">
        <v>456</v>
      </c>
      <c r="AE67" s="14">
        <v>2679722</v>
      </c>
    </row>
    <row r="68" spans="1:31" x14ac:dyDescent="0.35">
      <c r="A68" s="15" t="s">
        <v>99</v>
      </c>
      <c r="B68" s="16"/>
      <c r="C68" s="16"/>
      <c r="D68" s="16"/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</sheetData>
  <mergeCells count="1">
    <mergeCell ref="A67:D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Andrei David Flores</cp:lastModifiedBy>
  <dcterms:created xsi:type="dcterms:W3CDTF">2026-01-16T14:28:05Z</dcterms:created>
  <dcterms:modified xsi:type="dcterms:W3CDTF">2026-01-16T14:28:38Z</dcterms:modified>
</cp:coreProperties>
</file>